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nz\OneDrive\Desktop\"/>
    </mc:Choice>
  </mc:AlternateContent>
  <xr:revisionPtr revIDLastSave="0" documentId="8_{9A2ECFCF-E391-456C-ABB7-14DF17822B73}" xr6:coauthVersionLast="47" xr6:coauthVersionMax="47" xr10:uidLastSave="{00000000-0000-0000-0000-000000000000}"/>
  <bookViews>
    <workbookView xWindow="-120" yWindow="-120" windowWidth="29040" windowHeight="17520" activeTab="1" xr2:uid="{1977BA7A-3BD1-4CBB-967F-34529ED38CDE}"/>
  </bookViews>
  <sheets>
    <sheet name="data" sheetId="1" r:id="rId1"/>
    <sheet name="Data Cleaning Steps" sheetId="14" r:id="rId2"/>
    <sheet name="Exercise 2 &amp; 3" sheetId="5" r:id="rId3"/>
    <sheet name="Line Charts" sheetId="7" r:id="rId4"/>
    <sheet name="Standard vs Luxury" sheetId="11" r:id="rId5"/>
    <sheet name="Charts for Analysis " sheetId="13" r:id="rId6"/>
  </sheets>
  <definedNames>
    <definedName name="_xlnm._FilterDatabase" localSheetId="0" hidden="1">data!$A$1:$T$138</definedName>
  </definedNames>
  <calcPr calcId="191028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H84" i="1"/>
  <c r="K29" i="1"/>
  <c r="K103" i="1"/>
  <c r="R87" i="1"/>
  <c r="K54" i="1"/>
  <c r="D35" i="1"/>
  <c r="D115" i="1"/>
  <c r="M122" i="1"/>
  <c r="K6" i="1"/>
  <c r="R110" i="1"/>
  <c r="M2" i="1"/>
  <c r="K47" i="1"/>
  <c r="H121" i="1"/>
  <c r="H26" i="1"/>
  <c r="D137" i="1"/>
  <c r="R108" i="1"/>
  <c r="R53" i="1"/>
  <c r="K50" i="1"/>
  <c r="D2" i="1"/>
  <c r="K8" i="1"/>
  <c r="D23" i="1"/>
  <c r="R63" i="1"/>
  <c r="D54" i="1"/>
  <c r="M69" i="1"/>
  <c r="R88" i="1"/>
  <c r="H51" i="1"/>
  <c r="K5" i="1"/>
  <c r="K104" i="1"/>
  <c r="K102" i="1"/>
  <c r="D72" i="1"/>
  <c r="M124" i="1"/>
  <c r="D38" i="1"/>
  <c r="R132" i="1"/>
  <c r="K121" i="1"/>
  <c r="H62" i="1"/>
  <c r="K129" i="1"/>
  <c r="M49" i="1"/>
  <c r="H66" i="1"/>
  <c r="D22" i="1"/>
  <c r="D91" i="1"/>
  <c r="H85" i="1"/>
  <c r="H56" i="1"/>
  <c r="R134" i="1"/>
  <c r="M87" i="1"/>
  <c r="M94" i="1"/>
  <c r="R26" i="1"/>
  <c r="D113" i="1"/>
  <c r="K53" i="1"/>
  <c r="H104" i="1"/>
  <c r="M16" i="1"/>
  <c r="M18" i="1"/>
  <c r="M127" i="1"/>
  <c r="H70" i="1"/>
  <c r="D128" i="1"/>
  <c r="K108" i="1"/>
  <c r="K26" i="1"/>
  <c r="K81" i="1"/>
  <c r="D74" i="1"/>
  <c r="M66" i="1"/>
  <c r="K123" i="1"/>
  <c r="R55" i="1"/>
  <c r="H107" i="1"/>
  <c r="H47" i="1"/>
  <c r="K101" i="1"/>
  <c r="K98" i="1"/>
  <c r="R91" i="1"/>
  <c r="H8" i="1"/>
  <c r="K77" i="1"/>
  <c r="D120" i="1"/>
  <c r="M68" i="1"/>
  <c r="D9" i="1"/>
  <c r="K116" i="1"/>
  <c r="R76" i="1"/>
  <c r="H29" i="1"/>
  <c r="R14" i="1"/>
  <c r="M54" i="1"/>
  <c r="M128" i="1"/>
  <c r="K96" i="1"/>
  <c r="M89" i="1"/>
  <c r="D14" i="1"/>
  <c r="K27" i="1"/>
  <c r="H91" i="1"/>
  <c r="H136" i="1"/>
  <c r="D17" i="1"/>
  <c r="H24" i="1"/>
  <c r="D51" i="1"/>
  <c r="K80" i="1"/>
  <c r="H72" i="1"/>
  <c r="H101" i="1"/>
  <c r="R37" i="1"/>
  <c r="D94" i="1"/>
  <c r="M59" i="1"/>
  <c r="M48" i="1"/>
  <c r="D48" i="1"/>
  <c r="R95" i="1"/>
  <c r="M103" i="1"/>
  <c r="R45" i="1"/>
  <c r="M21" i="1"/>
  <c r="M117" i="1"/>
  <c r="M64" i="1"/>
  <c r="K44" i="1"/>
  <c r="R137" i="1"/>
  <c r="K51" i="1"/>
  <c r="M130" i="1"/>
  <c r="H114" i="1"/>
  <c r="K70" i="1"/>
  <c r="D64" i="1"/>
  <c r="D47" i="1"/>
  <c r="R125" i="1"/>
  <c r="K36" i="1"/>
  <c r="R133" i="1"/>
  <c r="H40" i="1"/>
  <c r="M90" i="1"/>
  <c r="K23" i="1"/>
  <c r="H11" i="1"/>
  <c r="M57" i="1"/>
  <c r="R90" i="1"/>
  <c r="H4" i="1"/>
  <c r="M30" i="1"/>
  <c r="D118" i="1"/>
  <c r="H28" i="1"/>
  <c r="R79" i="1"/>
  <c r="R66" i="1"/>
  <c r="H105" i="1"/>
  <c r="M41" i="1"/>
  <c r="D11" i="1"/>
  <c r="R33" i="1"/>
  <c r="D99" i="1"/>
  <c r="D68" i="1"/>
  <c r="H103" i="1"/>
  <c r="H53" i="1"/>
  <c r="R96" i="1"/>
  <c r="R9" i="1"/>
  <c r="R30" i="1"/>
  <c r="D112" i="1"/>
  <c r="M63" i="1"/>
  <c r="K15" i="1"/>
  <c r="D65" i="1"/>
  <c r="H80" i="1"/>
  <c r="D101" i="1"/>
  <c r="H45" i="1"/>
  <c r="D105" i="1"/>
  <c r="M29" i="1"/>
  <c r="R38" i="1"/>
  <c r="M27" i="1"/>
  <c r="H50" i="1"/>
  <c r="M34" i="1"/>
  <c r="K87" i="1"/>
  <c r="H110" i="1"/>
  <c r="R29" i="1"/>
  <c r="D49" i="1"/>
  <c r="R41" i="1"/>
  <c r="R83" i="1"/>
  <c r="R67" i="1"/>
  <c r="H111" i="1"/>
  <c r="D53" i="1"/>
  <c r="H59" i="1"/>
  <c r="R85" i="1"/>
  <c r="R8" i="1"/>
  <c r="K82" i="1"/>
  <c r="R50" i="1"/>
  <c r="H44" i="1"/>
  <c r="K136" i="1"/>
  <c r="M79" i="1"/>
  <c r="R78" i="1"/>
  <c r="M40" i="1"/>
  <c r="K89" i="1"/>
  <c r="D133" i="1"/>
  <c r="R23" i="1"/>
  <c r="D42" i="1"/>
  <c r="R20" i="1"/>
  <c r="M138" i="1"/>
  <c r="D103" i="1"/>
  <c r="K3" i="1"/>
  <c r="K12" i="1"/>
  <c r="H133" i="1"/>
  <c r="M112" i="1"/>
  <c r="H38" i="1"/>
  <c r="H12" i="1"/>
  <c r="H87" i="1"/>
  <c r="D32" i="1"/>
  <c r="M135" i="1"/>
  <c r="D19" i="1"/>
  <c r="R77" i="1"/>
  <c r="R4" i="1"/>
  <c r="D81" i="1"/>
  <c r="K71" i="1"/>
  <c r="K65" i="1"/>
  <c r="D127" i="1"/>
  <c r="M43" i="1"/>
  <c r="K122" i="1"/>
  <c r="D136" i="1"/>
  <c r="D86" i="1"/>
  <c r="H57" i="1"/>
  <c r="H127" i="1"/>
  <c r="K10" i="1"/>
  <c r="R48" i="1"/>
  <c r="M121" i="1"/>
  <c r="M50" i="1"/>
  <c r="H81" i="1"/>
  <c r="R31" i="1"/>
  <c r="K60" i="1"/>
  <c r="M11" i="1"/>
  <c r="R42" i="1"/>
  <c r="K99" i="1"/>
  <c r="K49" i="1"/>
  <c r="D12" i="1"/>
  <c r="R101" i="1"/>
  <c r="K62" i="1"/>
  <c r="R72" i="1"/>
  <c r="R74" i="1"/>
  <c r="K93" i="1"/>
  <c r="K11" i="1"/>
  <c r="M91" i="1"/>
  <c r="R123" i="1"/>
  <c r="R2" i="1"/>
  <c r="M136" i="1"/>
  <c r="H20" i="1"/>
  <c r="M65" i="1"/>
  <c r="R22" i="1"/>
  <c r="R138" i="1"/>
  <c r="R44" i="1"/>
  <c r="R59" i="1"/>
  <c r="H30" i="1"/>
  <c r="H106" i="1"/>
  <c r="M62" i="1"/>
  <c r="D131" i="1"/>
  <c r="H13" i="1"/>
  <c r="R113" i="1"/>
  <c r="K32" i="1"/>
  <c r="R115" i="1"/>
  <c r="R128" i="1"/>
  <c r="R16" i="1"/>
  <c r="M80" i="1"/>
  <c r="M99" i="1"/>
  <c r="D44" i="1"/>
  <c r="R111" i="1"/>
  <c r="M93" i="1"/>
  <c r="D37" i="1"/>
  <c r="D70" i="1"/>
  <c r="D106" i="1"/>
  <c r="H49" i="1"/>
  <c r="H78" i="1"/>
  <c r="D89" i="1"/>
  <c r="H14" i="1"/>
  <c r="K56" i="1"/>
  <c r="H73" i="1"/>
  <c r="K66" i="1"/>
  <c r="M20" i="1"/>
  <c r="D24" i="1"/>
  <c r="M118" i="1"/>
  <c r="H6" i="1"/>
  <c r="H89" i="1"/>
  <c r="R105" i="1"/>
  <c r="K90" i="1"/>
  <c r="R52" i="1"/>
  <c r="M39" i="1"/>
  <c r="K45" i="1"/>
  <c r="R61" i="1"/>
  <c r="H92" i="1"/>
  <c r="D15" i="1"/>
  <c r="D111" i="1"/>
  <c r="K52" i="1"/>
  <c r="D90" i="1"/>
  <c r="R5" i="1"/>
  <c r="M133" i="1"/>
  <c r="M10" i="1"/>
  <c r="R135" i="1"/>
  <c r="K63" i="1"/>
  <c r="D43" i="1"/>
  <c r="M61" i="1"/>
  <c r="H71" i="1"/>
  <c r="K100" i="1"/>
  <c r="M104" i="1"/>
  <c r="M81" i="1"/>
  <c r="M131" i="1"/>
  <c r="D119" i="1"/>
  <c r="K127" i="1"/>
  <c r="K111" i="1"/>
  <c r="K42" i="1"/>
  <c r="K119" i="1"/>
  <c r="R118" i="1"/>
  <c r="M82" i="1"/>
  <c r="R46" i="1"/>
  <c r="R56" i="1"/>
  <c r="H135" i="1"/>
  <c r="M19" i="1"/>
  <c r="D21" i="1"/>
  <c r="M101" i="1"/>
  <c r="R80" i="1"/>
  <c r="K9" i="1"/>
  <c r="D66" i="1"/>
  <c r="D85" i="1"/>
  <c r="M97" i="1"/>
  <c r="M73" i="1"/>
  <c r="H129" i="1"/>
  <c r="R116" i="1"/>
  <c r="M8" i="1"/>
  <c r="K17" i="1"/>
  <c r="H32" i="1"/>
  <c r="H137" i="1"/>
  <c r="D129" i="1"/>
  <c r="K21" i="1"/>
  <c r="K67" i="1"/>
  <c r="H15" i="1"/>
  <c r="K94" i="1"/>
  <c r="R104" i="1"/>
  <c r="M17" i="1"/>
  <c r="H124" i="1"/>
  <c r="K7" i="1"/>
  <c r="D116" i="1"/>
  <c r="H94" i="1"/>
  <c r="K19" i="1"/>
  <c r="R94" i="1"/>
  <c r="D79" i="1"/>
  <c r="D27" i="1"/>
  <c r="R58" i="1"/>
  <c r="H54" i="1"/>
  <c r="H75" i="1"/>
  <c r="R71" i="1"/>
  <c r="M114" i="1"/>
  <c r="D78" i="1"/>
  <c r="K110" i="1"/>
  <c r="D60" i="1"/>
  <c r="K114" i="1"/>
  <c r="M71" i="1"/>
  <c r="H17" i="1"/>
  <c r="D88" i="1"/>
  <c r="K4" i="1"/>
  <c r="M14" i="1"/>
  <c r="H35" i="1"/>
  <c r="R69" i="1"/>
  <c r="M109" i="1"/>
  <c r="H41" i="1"/>
  <c r="R34" i="1"/>
  <c r="D3" i="1"/>
  <c r="M119" i="1"/>
  <c r="H5" i="1"/>
  <c r="D114" i="1"/>
  <c r="M45" i="1"/>
  <c r="H58" i="1"/>
  <c r="M70" i="1"/>
  <c r="R17" i="1"/>
  <c r="D82" i="1"/>
  <c r="M60" i="1"/>
  <c r="K118" i="1"/>
  <c r="M100" i="1"/>
  <c r="R127" i="1"/>
  <c r="D109" i="1"/>
  <c r="D95" i="1"/>
  <c r="K69" i="1"/>
  <c r="R57" i="1"/>
  <c r="D92" i="1"/>
  <c r="M88" i="1"/>
  <c r="H120" i="1"/>
  <c r="M23" i="1"/>
  <c r="R112" i="1"/>
  <c r="M24" i="1"/>
  <c r="D7" i="1"/>
  <c r="M108" i="1"/>
  <c r="H3" i="1"/>
  <c r="R47" i="1"/>
  <c r="K39" i="1"/>
  <c r="M31" i="1"/>
  <c r="K97" i="1"/>
  <c r="M83" i="1"/>
  <c r="K134" i="1"/>
  <c r="H134" i="1"/>
  <c r="R84" i="1"/>
  <c r="D73" i="1"/>
  <c r="K117" i="1"/>
  <c r="M98" i="1"/>
  <c r="K84" i="1"/>
  <c r="H42" i="1"/>
  <c r="D4" i="1"/>
  <c r="M78" i="1"/>
  <c r="H117" i="1"/>
  <c r="M32" i="1"/>
  <c r="D80" i="1"/>
  <c r="D93" i="1"/>
  <c r="K22" i="1"/>
  <c r="R18" i="1"/>
  <c r="M36" i="1"/>
  <c r="K106" i="1"/>
  <c r="H93" i="1"/>
  <c r="D40" i="1"/>
  <c r="M46" i="1"/>
  <c r="D56" i="1"/>
  <c r="H7" i="1"/>
  <c r="D50" i="1"/>
  <c r="R136" i="1"/>
  <c r="H16" i="1"/>
  <c r="H132" i="1"/>
  <c r="K130" i="1"/>
  <c r="M12" i="1"/>
  <c r="K31" i="1"/>
  <c r="H2" i="1"/>
  <c r="H90" i="1"/>
  <c r="R60" i="1"/>
  <c r="K88" i="1"/>
  <c r="K20" i="1"/>
  <c r="H96" i="1"/>
  <c r="K64" i="1"/>
  <c r="H67" i="1"/>
  <c r="H131" i="1"/>
  <c r="H9" i="1"/>
  <c r="D138" i="1"/>
  <c r="R70" i="1"/>
  <c r="M37" i="1"/>
  <c r="K57" i="1"/>
  <c r="R117" i="1"/>
  <c r="M52" i="1"/>
  <c r="D10" i="1"/>
  <c r="R124" i="1"/>
  <c r="H23" i="1"/>
  <c r="K28" i="1"/>
  <c r="M134" i="1"/>
  <c r="M74" i="1"/>
  <c r="D13" i="1"/>
  <c r="K74" i="1"/>
  <c r="M113" i="1"/>
  <c r="R109" i="1"/>
  <c r="M6" i="1"/>
  <c r="H48" i="1"/>
  <c r="H55" i="1"/>
  <c r="D83" i="1"/>
  <c r="K40" i="1"/>
  <c r="M129" i="1"/>
  <c r="D8" i="1"/>
  <c r="K109" i="1"/>
  <c r="K34" i="1"/>
  <c r="H34" i="1"/>
  <c r="M96" i="1"/>
  <c r="R28" i="1"/>
  <c r="M5" i="1"/>
  <c r="M25" i="1"/>
  <c r="H52" i="1"/>
  <c r="D57" i="1"/>
  <c r="K138" i="1"/>
  <c r="R114" i="1"/>
  <c r="M111" i="1"/>
  <c r="D122" i="1"/>
  <c r="D25" i="1"/>
  <c r="R86" i="1"/>
  <c r="M75" i="1"/>
  <c r="K133" i="1"/>
  <c r="M28" i="1"/>
  <c r="H31" i="1"/>
  <c r="R32" i="1"/>
  <c r="K46" i="1"/>
  <c r="D126" i="1"/>
  <c r="K72" i="1"/>
  <c r="R27" i="1"/>
  <c r="H65" i="1"/>
  <c r="K43" i="1"/>
  <c r="K113" i="1"/>
  <c r="D62" i="1"/>
  <c r="R97" i="1"/>
  <c r="D63" i="1"/>
  <c r="R99" i="1"/>
  <c r="H128" i="1"/>
  <c r="H60" i="1"/>
  <c r="R65" i="1"/>
  <c r="K95" i="1"/>
  <c r="D31" i="1"/>
  <c r="D58" i="1"/>
  <c r="M120" i="1"/>
  <c r="D75" i="1"/>
  <c r="H138" i="1"/>
  <c r="R36" i="1"/>
  <c r="H97" i="1"/>
  <c r="D36" i="1"/>
  <c r="R102" i="1"/>
  <c r="K41" i="1"/>
  <c r="K91" i="1"/>
  <c r="R126" i="1"/>
  <c r="M33" i="1"/>
  <c r="M126" i="1"/>
  <c r="H37" i="1"/>
  <c r="M84" i="1"/>
  <c r="H69" i="1"/>
  <c r="K126" i="1"/>
  <c r="H88" i="1"/>
  <c r="D45" i="1"/>
  <c r="D108" i="1"/>
  <c r="H46" i="1"/>
  <c r="K115" i="1"/>
  <c r="H76" i="1"/>
  <c r="H77" i="1"/>
  <c r="K112" i="1"/>
  <c r="H22" i="1"/>
  <c r="H82" i="1"/>
  <c r="H36" i="1"/>
  <c r="R81" i="1"/>
  <c r="K61" i="1"/>
  <c r="H79" i="1"/>
  <c r="K78" i="1"/>
  <c r="K24" i="1"/>
  <c r="M47" i="1"/>
  <c r="M15" i="1"/>
  <c r="K2" i="1"/>
  <c r="K85" i="1"/>
  <c r="K120" i="1"/>
  <c r="R130" i="1"/>
  <c r="D5" i="1"/>
  <c r="M13" i="1"/>
  <c r="R7" i="1"/>
  <c r="D28" i="1"/>
  <c r="D55" i="1"/>
  <c r="M106" i="1"/>
  <c r="M67" i="1"/>
  <c r="H102" i="1"/>
  <c r="K76" i="1"/>
  <c r="M58" i="1"/>
  <c r="D76" i="1"/>
  <c r="K131" i="1"/>
  <c r="M38" i="1"/>
  <c r="H118" i="1"/>
  <c r="D30" i="1"/>
  <c r="M86" i="1"/>
  <c r="R121" i="1"/>
  <c r="M35" i="1"/>
  <c r="R39" i="1"/>
  <c r="K137" i="1"/>
  <c r="H43" i="1"/>
  <c r="D87" i="1"/>
  <c r="D71" i="1"/>
  <c r="H112" i="1"/>
  <c r="M44" i="1"/>
  <c r="H83" i="1"/>
  <c r="R43" i="1"/>
  <c r="M105" i="1"/>
  <c r="D33" i="1"/>
  <c r="R68" i="1"/>
  <c r="D18" i="1"/>
  <c r="K37" i="1"/>
  <c r="D125" i="1"/>
  <c r="R107" i="1"/>
  <c r="K107" i="1"/>
  <c r="H63" i="1"/>
  <c r="M85" i="1"/>
  <c r="H113" i="1"/>
  <c r="H122" i="1"/>
  <c r="D132" i="1"/>
  <c r="D84" i="1"/>
  <c r="R64" i="1"/>
  <c r="K135" i="1"/>
  <c r="K14" i="1"/>
  <c r="K105" i="1"/>
  <c r="H68" i="1"/>
  <c r="R73" i="1"/>
  <c r="H74" i="1"/>
  <c r="M7" i="1"/>
  <c r="K55" i="1"/>
  <c r="K59" i="1"/>
  <c r="M4" i="1"/>
  <c r="H116" i="1"/>
  <c r="K132" i="1"/>
  <c r="H99" i="1"/>
  <c r="M132" i="1"/>
  <c r="H27" i="1"/>
  <c r="H64" i="1"/>
  <c r="R120" i="1"/>
  <c r="M76" i="1"/>
  <c r="K33" i="1"/>
  <c r="K13" i="1"/>
  <c r="D102" i="1"/>
  <c r="M51" i="1"/>
  <c r="K58" i="1"/>
  <c r="M102" i="1"/>
  <c r="R51" i="1"/>
  <c r="R49" i="1"/>
  <c r="R129" i="1"/>
  <c r="M26" i="1"/>
  <c r="M125" i="1"/>
  <c r="M110" i="1"/>
  <c r="R75" i="1"/>
  <c r="R12" i="1"/>
  <c r="D100" i="1"/>
  <c r="R119" i="1"/>
  <c r="R21" i="1"/>
  <c r="R89" i="1"/>
  <c r="M123" i="1"/>
  <c r="R24" i="1"/>
  <c r="D6" i="1"/>
  <c r="R106" i="1"/>
  <c r="K92" i="1"/>
  <c r="D67" i="1"/>
  <c r="K128" i="1"/>
  <c r="R40" i="1"/>
  <c r="D121" i="1"/>
  <c r="R35" i="1"/>
  <c r="D134" i="1"/>
  <c r="K16" i="1"/>
  <c r="R93" i="1"/>
  <c r="H25" i="1"/>
  <c r="R11" i="1"/>
  <c r="D130" i="1"/>
  <c r="H119" i="1"/>
  <c r="H123" i="1"/>
  <c r="K79" i="1"/>
  <c r="D69" i="1"/>
  <c r="M55" i="1"/>
  <c r="K38" i="1"/>
  <c r="M107" i="1"/>
  <c r="M95" i="1"/>
  <c r="H100" i="1"/>
  <c r="K86" i="1"/>
  <c r="K83" i="1"/>
  <c r="R82" i="1"/>
  <c r="H86" i="1"/>
  <c r="D97" i="1"/>
  <c r="R19" i="1"/>
  <c r="M92" i="1"/>
  <c r="H39" i="1"/>
  <c r="M3" i="1"/>
  <c r="M77" i="1"/>
  <c r="H108" i="1"/>
  <c r="D52" i="1"/>
  <c r="H18" i="1"/>
  <c r="R98" i="1"/>
  <c r="D41" i="1"/>
  <c r="H130" i="1"/>
  <c r="R92" i="1"/>
  <c r="K125" i="1"/>
  <c r="D77" i="1"/>
  <c r="R15" i="1"/>
  <c r="M72" i="1"/>
  <c r="K73" i="1"/>
  <c r="D29" i="1"/>
  <c r="R131" i="1"/>
  <c r="M115" i="1"/>
  <c r="K18" i="1"/>
  <c r="H109" i="1"/>
  <c r="D39" i="1"/>
  <c r="D123" i="1"/>
  <c r="M116" i="1"/>
  <c r="M9" i="1"/>
  <c r="D59" i="1"/>
  <c r="H125" i="1"/>
  <c r="K25" i="1"/>
  <c r="H21" i="1"/>
  <c r="R13" i="1"/>
  <c r="M137" i="1"/>
  <c r="H98" i="1"/>
  <c r="H126" i="1"/>
  <c r="M42" i="1"/>
  <c r="R103" i="1"/>
  <c r="R6" i="1"/>
  <c r="D117" i="1"/>
  <c r="D96" i="1"/>
  <c r="H19" i="1"/>
  <c r="R25" i="1"/>
  <c r="R3" i="1"/>
  <c r="H33" i="1"/>
  <c r="K30" i="1"/>
  <c r="K124" i="1"/>
  <c r="H95" i="1"/>
  <c r="R122" i="1"/>
  <c r="M53" i="1"/>
  <c r="H61" i="1"/>
  <c r="K68" i="1"/>
  <c r="M22" i="1"/>
  <c r="K75" i="1"/>
  <c r="H10" i="1"/>
  <c r="D34" i="1"/>
  <c r="H115" i="1"/>
  <c r="R62" i="1"/>
  <c r="D16" i="1"/>
  <c r="D26" i="1"/>
  <c r="D124" i="1"/>
  <c r="R100" i="1"/>
  <c r="R54" i="1"/>
  <c r="D135" i="1"/>
  <c r="R10" i="1"/>
  <c r="K35" i="1"/>
  <c r="D104" i="1"/>
  <c r="D46" i="1"/>
  <c r="M56" i="1"/>
  <c r="D107" i="1"/>
  <c r="D61" i="1"/>
  <c r="D110" i="1"/>
  <c r="D98" i="1"/>
  <c r="K48" i="1"/>
</calcChain>
</file>

<file path=xl/sharedStrings.xml><?xml version="1.0" encoding="utf-8"?>
<sst xmlns="http://schemas.openxmlformats.org/spreadsheetml/2006/main" count="1775" uniqueCount="652">
  <si>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</si>
  <si>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</si>
  <si>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</si>
  <si>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</si>
  <si>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</si>
  <si>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</si>
  <si>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</si>
  <si>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</si>
  <si>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</si>
  <si>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</si>
  <si>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</si>
  <si>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</si>
  <si>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</si>
  <si>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</si>
  <si>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</si>
  <si>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</si>
  <si>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</si>
  <si>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</si>
  <si>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</si>
  <si>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</si>
  <si>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</si>
  <si>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</si>
  <si>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</si>
  <si>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</si>
  <si>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</si>
  <si>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</si>
  <si>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John Smith</t>
  </si>
  <si>
    <t>john.smith@email.com</t>
  </si>
  <si>
    <t>Northeast</t>
  </si>
  <si>
    <t>1.5L</t>
  </si>
  <si>
    <t>Blue</t>
  </si>
  <si>
    <t>Q1</t>
  </si>
  <si>
    <t>2T1BURHE0JC054321</t>
  </si>
  <si>
    <t>Toyota</t>
  </si>
  <si>
    <t>Corolla</t>
  </si>
  <si>
    <t>Sarah Johnson</t>
  </si>
  <si>
    <t>sarah.j@gmail.com</t>
  </si>
  <si>
    <t>West</t>
  </si>
  <si>
    <t>1.8L</t>
  </si>
  <si>
    <t>White</t>
  </si>
  <si>
    <t>3N1AB7AP9HY123456</t>
  </si>
  <si>
    <t>Nissan</t>
  </si>
  <si>
    <t>Altima</t>
  </si>
  <si>
    <t>Full-Size Car</t>
  </si>
  <si>
    <t>Mike Davis</t>
  </si>
  <si>
    <t>m.davis@yahoo.com</t>
  </si>
  <si>
    <t>2.5L</t>
  </si>
  <si>
    <t>Silver</t>
  </si>
  <si>
    <t>5NPE34AF5KH654321</t>
  </si>
  <si>
    <t>Hyundai</t>
  </si>
  <si>
    <t>Elantra</t>
  </si>
  <si>
    <t>Lisa Chen</t>
  </si>
  <si>
    <t>lisa.chen@outlook.com</t>
  </si>
  <si>
    <t>2.0L</t>
  </si>
  <si>
    <t>Red</t>
  </si>
  <si>
    <t>KMHCT4AE9CU987654</t>
  </si>
  <si>
    <t>Tucson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</si>
  <si>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</si>
  <si>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</si>
  <si>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</si>
  <si>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</si>
  <si>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</si>
  <si>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</si>
  <si>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</si>
  <si>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</si>
  <si>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</si>
  <si>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</si>
  <si>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</si>
  <si>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</si>
  <si>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</si>
  <si>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</si>
  <si>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</si>
  <si>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</si>
  <si>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</si>
  <si>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</si>
  <si>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</si>
  <si>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David Brown</t>
  </si>
  <si>
    <t>david.brown@email.com</t>
  </si>
  <si>
    <t>Midwest</t>
  </si>
  <si>
    <t>5.0L</t>
  </si>
  <si>
    <t>1G1ZT51806F123456</t>
  </si>
  <si>
    <t>Chevrolet</t>
  </si>
  <si>
    <t>Malibu</t>
  </si>
  <si>
    <t>chevy.fan@gmail.com</t>
  </si>
  <si>
    <t>WBA8E9G50HNU12345</t>
  </si>
  <si>
    <t>BMW</t>
  </si>
  <si>
    <t>X3</t>
  </si>
  <si>
    <t>Luxury/Performance</t>
  </si>
  <si>
    <t>Jennifer Garcia</t>
  </si>
  <si>
    <t>j.garcia@email.com</t>
  </si>
  <si>
    <t>5YJSA1E26JF123456</t>
  </si>
  <si>
    <t>Tesla</t>
  </si>
  <si>
    <t>Model S</t>
  </si>
  <si>
    <t>Michael Rodriguez</t>
  </si>
  <si>
    <t>mrodriguez@email.com</t>
  </si>
  <si>
    <t>1HGCV1F36JA123456</t>
  </si>
  <si>
    <t>Accord</t>
  </si>
  <si>
    <t>Patricia Martinez</t>
  </si>
  <si>
    <t>p.martinez@gmail.com</t>
  </si>
  <si>
    <t>4T1BF1FK8EU123456</t>
  </si>
  <si>
    <t>Camry</t>
  </si>
  <si>
    <t>James Anderson</t>
  </si>
  <si>
    <t>james.anderson@email.com</t>
  </si>
  <si>
    <t>1N4AL3AP8JC123456</t>
  </si>
  <si>
    <t>Mary Thomas</t>
  </si>
  <si>
    <t>mthomas@email.com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</si>
  <si>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</si>
  <si>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</si>
  <si>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</si>
  <si>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</si>
  <si>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</si>
  <si>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</si>
  <si>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</si>
  <si>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</si>
  <si>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</si>
  <si>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</si>
  <si>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</si>
  <si>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</si>
  <si>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</si>
  <si>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</si>
  <si>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</si>
  <si>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</si>
  <si>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</si>
  <si>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</si>
  <si>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</si>
  <si>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</si>
  <si>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</si>
  <si>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</si>
  <si>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</si>
  <si>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</si>
  <si>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</si>
  <si>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</si>
  <si>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</si>
  <si>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</si>
  <si>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</si>
  <si>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</si>
  <si>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</si>
  <si>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</si>
  <si>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</si>
  <si>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</si>
  <si>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</si>
  <si>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</si>
  <si>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</si>
  <si>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</si>
  <si>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</si>
  <si>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</si>
  <si>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</si>
  <si>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</si>
  <si>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</si>
  <si>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</si>
  <si>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</si>
  <si>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</si>
  <si>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</si>
  <si>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</si>
  <si>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</si>
  <si>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</si>
  <si>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</si>
  <si>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</si>
  <si>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</si>
  <si>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</si>
  <si>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WBA8E9G60HNU12347</t>
  </si>
  <si>
    <t>3 Series</t>
  </si>
  <si>
    <t>Edward White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</si>
  <si>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</si>
  <si>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</si>
  <si>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</si>
  <si>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</si>
  <si>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</si>
  <si>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</si>
  <si>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</si>
  <si>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</si>
  <si>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</si>
  <si>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</si>
  <si>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</si>
  <si>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</si>
  <si>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</si>
  <si>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</si>
  <si>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</si>
  <si>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</si>
  <si>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</si>
  <si>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</si>
  <si>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</si>
  <si>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</si>
  <si>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</si>
  <si>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</si>
  <si>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</si>
  <si>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</si>
  <si>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</si>
  <si>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</si>
  <si>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</si>
  <si>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</si>
  <si>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</si>
  <si>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</si>
  <si>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</si>
  <si>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</si>
  <si>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</si>
  <si>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</si>
  <si>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</si>
  <si>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Willie Thomas</t>
  </si>
  <si>
    <t>w.thomas@email.com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</si>
  <si>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</si>
  <si>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</si>
  <si>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</si>
  <si>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</si>
  <si>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</si>
  <si>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</si>
  <si>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</si>
  <si>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</si>
  <si>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</si>
  <si>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</si>
  <si>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</si>
  <si>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</si>
  <si>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</si>
  <si>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</si>
  <si>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</si>
  <si>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</si>
  <si>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</si>
  <si>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</si>
  <si>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</si>
  <si>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</si>
  <si>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</si>
  <si>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</si>
  <si>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</si>
  <si>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</si>
  <si>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</si>
  <si>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</si>
  <si>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</si>
  <si>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</si>
  <si>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</si>
  <si>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</si>
  <si>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</si>
  <si>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</si>
  <si>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</si>
  <si>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</si>
  <si>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</si>
  <si>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</si>
  <si>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</si>
  <si>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</si>
  <si>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</si>
  <si>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</si>
  <si>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</si>
  <si>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</si>
  <si>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</si>
  <si>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</si>
  <si>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</si>
  <si>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</si>
  <si>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</si>
  <si>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</si>
  <si>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</si>
  <si>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</si>
  <si>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</si>
  <si>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</si>
  <si>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</si>
  <si>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</si>
  <si>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</si>
  <si>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</si>
  <si>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</si>
  <si>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</si>
  <si>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</si>
  <si>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</si>
  <si>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</si>
  <si>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</si>
  <si>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</si>
  <si>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</si>
  <si>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</si>
  <si>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</si>
  <si>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</si>
  <si>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</si>
  <si>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</si>
  <si>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</si>
  <si>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</si>
  <si>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</si>
  <si>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</si>
  <si>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</si>
  <si>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</si>
  <si>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</si>
  <si>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</si>
  <si>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</si>
  <si>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</si>
  <si>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</si>
  <si>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</si>
  <si>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</si>
  <si>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</si>
  <si>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</si>
  <si>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</si>
  <si>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</si>
  <si>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</si>
  <si>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</si>
  <si>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</si>
  <si>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</si>
  <si>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</si>
  <si>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</si>
  <si>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</si>
  <si>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</si>
  <si>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</si>
  <si>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</si>
  <si>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</si>
  <si>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</si>
  <si>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</si>
  <si>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</si>
  <si>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</si>
  <si>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</si>
  <si>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</si>
  <si>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</si>
  <si>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</si>
  <si>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</si>
  <si>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</si>
  <si>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</si>
  <si>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</si>
  <si>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</si>
  <si>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</si>
  <si>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</si>
  <si>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</si>
  <si>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</si>
  <si>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</si>
  <si>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</si>
  <si>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</si>
  <si>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</si>
  <si>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</si>
  <si>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</si>
  <si>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</si>
  <si>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</si>
  <si>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</si>
  <si>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</si>
  <si>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</si>
  <si>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</si>
  <si>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</si>
  <si>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</si>
  <si>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</si>
  <si>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</si>
  <si>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</si>
  <si>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</si>
  <si>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</si>
  <si>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</si>
  <si>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</si>
  <si>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</si>
  <si>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</si>
  <si>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</si>
  <si>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</si>
  <si>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</si>
  <si>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</si>
  <si>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</si>
  <si>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</si>
  <si>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</si>
  <si>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</si>
  <si>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</si>
  <si>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</si>
  <si>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</si>
  <si>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</si>
  <si>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</si>
  <si>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</si>
  <si>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</si>
  <si>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</si>
  <si>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</si>
  <si>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</si>
  <si>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</si>
  <si>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</si>
  <si>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</si>
  <si>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</si>
  <si>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</si>
  <si>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</si>
  <si>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</si>
  <si>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</si>
  <si>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</si>
  <si>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</si>
  <si>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</si>
  <si>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</si>
  <si>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</si>
  <si>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</si>
  <si>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</si>
  <si>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</si>
  <si>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</si>
  <si>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</si>
  <si>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</si>
  <si>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</si>
  <si>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</si>
  <si>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</si>
  <si>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</si>
  <si>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</si>
  <si>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</si>
  <si>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</si>
  <si>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</si>
  <si>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</si>
  <si>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</si>
  <si>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</si>
  <si>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</si>
  <si>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</si>
  <si>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</si>
  <si>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</si>
  <si>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</si>
  <si>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</si>
  <si>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</si>
  <si>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</si>
  <si>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</si>
  <si>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</si>
  <si>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</si>
  <si>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</si>
  <si>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</si>
  <si>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</si>
  <si>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</si>
  <si>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</si>
  <si>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</si>
  <si>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</si>
  <si>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</si>
  <si>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</si>
  <si>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</si>
  <si>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</si>
  <si>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</si>
  <si>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</si>
  <si>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</si>
  <si>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</si>
  <si>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</si>
  <si>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</si>
  <si>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</si>
  <si>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</si>
  <si>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</si>
  <si>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</si>
  <si>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</si>
  <si>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</si>
  <si>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</si>
  <si>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</si>
  <si>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</si>
  <si>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</si>
  <si>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</si>
  <si>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</si>
  <si>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</si>
  <si>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</si>
  <si>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</si>
  <si>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</si>
  <si>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</si>
  <si>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</si>
  <si>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</si>
  <si>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</si>
  <si>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</si>
  <si>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</si>
  <si>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</si>
  <si>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</si>
  <si>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</si>
  <si>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</si>
  <si>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</si>
  <si>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</si>
  <si>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</si>
  <si>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</si>
  <si>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</si>
  <si>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</si>
  <si>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</si>
  <si>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</si>
  <si>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</si>
  <si>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</si>
  <si>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</si>
  <si>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</si>
  <si>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</si>
  <si>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</si>
  <si>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</si>
  <si>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</si>
  <si>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</si>
  <si>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</si>
  <si>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</si>
  <si>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</si>
  <si>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</si>
  <si>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</si>
  <si>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</si>
  <si>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</si>
  <si>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</si>
  <si>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</si>
  <si>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</si>
  <si>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</si>
  <si>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</si>
  <si>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</si>
  <si>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</si>
  <si>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</si>
  <si>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</si>
  <si>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</si>
  <si>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</si>
  <si>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</si>
  <si>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</si>
  <si>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</si>
  <si>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</si>
  <si>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</si>
  <si>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</si>
  <si>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</si>
  <si>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</si>
  <si>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</si>
  <si>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</si>
  <si>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</si>
  <si>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</si>
  <si>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</si>
  <si>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</si>
  <si>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</si>
  <si>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</si>
  <si>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</si>
  <si>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</si>
  <si>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</si>
  <si>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</si>
  <si>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</si>
  <si>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</si>
  <si>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</si>
  <si>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</si>
  <si>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</si>
  <si>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</si>
  <si>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</si>
  <si>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</si>
  <si>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</si>
  <si>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</si>
  <si>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</si>
  <si>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</si>
  <si>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</si>
  <si>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</si>
  <si>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</si>
  <si>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</si>
  <si>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</si>
  <si>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</si>
  <si>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</si>
  <si>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</si>
  <si>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</si>
  <si>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</si>
  <si>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</si>
  <si>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</si>
  <si>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</si>
  <si>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</si>
  <si>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</si>
  <si>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</si>
  <si>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</si>
  <si>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</si>
  <si>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</si>
  <si>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</si>
  <si>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</si>
  <si>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</si>
  <si>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</si>
  <si>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</si>
  <si>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</si>
  <si>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</si>
  <si>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</si>
  <si>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</si>
  <si>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</si>
  <si>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</si>
  <si>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</si>
  <si>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</si>
  <si>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</si>
  <si>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</si>
  <si>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</si>
  <si>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</si>
  <si>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</si>
  <si>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</si>
  <si>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</si>
  <si>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</si>
  <si>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</si>
  <si>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</si>
  <si>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</si>
  <si>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</si>
  <si>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</si>
  <si>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</si>
  <si>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</si>
  <si>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</si>
  <si>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</si>
  <si>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</si>
  <si>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</si>
  <si>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</si>
  <si>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</si>
  <si>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</si>
  <si>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</si>
  <si>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</si>
  <si>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</si>
  <si>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</si>
  <si>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</si>
  <si>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</si>
  <si>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</si>
  <si>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</si>
  <si>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</si>
  <si>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</si>
  <si>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</si>
  <si>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</si>
  <si>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</si>
  <si>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</si>
  <si>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</si>
  <si>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</si>
  <si>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</si>
  <si>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</si>
  <si>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</si>
  <si>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</si>
  <si>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</si>
  <si>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</si>
  <si>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</si>
  <si>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</si>
  <si>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</si>
  <si>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</si>
  <si>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</si>
  <si>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</si>
  <si>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</si>
  <si>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</si>
  <si>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</si>
  <si>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</si>
  <si>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</si>
  <si>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</si>
  <si>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</si>
  <si>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</si>
  <si>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</si>
  <si>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</si>
  <si>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</si>
  <si>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</si>
  <si>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</si>
  <si>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</si>
  <si>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</si>
  <si>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</si>
  <si>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</si>
  <si>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</si>
  <si>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</si>
  <si>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</si>
  <si>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</si>
  <si>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</si>
  <si>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</si>
  <si>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</si>
  <si>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</si>
  <si>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</si>
  <si>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</si>
  <si>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</si>
  <si>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</si>
  <si>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</si>
  <si>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</si>
  <si>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Unknown Customer</t>
  </si>
  <si>
    <t>N/A</t>
  </si>
  <si>
    <t xml:space="preserve">Unknown </t>
  </si>
  <si>
    <t>Row Labels</t>
  </si>
  <si>
    <t>Suv</t>
  </si>
  <si>
    <t>Grand Total</t>
  </si>
  <si>
    <t>(All)</t>
  </si>
  <si>
    <t>Vehicle Category</t>
  </si>
  <si>
    <t>Sum of Sale_Price</t>
  </si>
  <si>
    <t>Count of VIN</t>
  </si>
  <si>
    <t>Avg. Selling Price by make/model</t>
  </si>
  <si>
    <t>Column Labels</t>
  </si>
  <si>
    <t>Count of Sale_Price</t>
  </si>
  <si>
    <t>Electric</t>
  </si>
  <si>
    <t>Gasoline</t>
  </si>
  <si>
    <t>Hybrid</t>
  </si>
  <si>
    <t>Quarters</t>
  </si>
  <si>
    <t>(Multiple Items)</t>
  </si>
  <si>
    <t>Average of Sale_Price</t>
  </si>
  <si>
    <t>Sales by Vehicle Category</t>
  </si>
  <si>
    <t>Data Cleaning Process</t>
  </si>
  <si>
    <t>Steps</t>
  </si>
  <si>
    <t>Action</t>
  </si>
  <si>
    <t>Remove Duplicates</t>
  </si>
  <si>
    <t>Identified duplicates using Conditional Formatting i.e., Highlight Duplicates</t>
  </si>
  <si>
    <t>Handle Missing Values</t>
  </si>
  <si>
    <r>
      <t xml:space="preserve">Reviewed all fields for missing data;                                                                                 Replaced critical values where appropriate and entered N/A for data not critical.         </t>
    </r>
    <r>
      <rPr>
        <b/>
        <sz val="11"/>
        <color theme="1"/>
        <rFont val="Calibri"/>
        <family val="2"/>
        <scheme val="minor"/>
      </rPr>
      <t xml:space="preserve">For example: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Engine_Size = N/A for Electric &amp; Hydrogen vehicles (valid)
Color = Unknown
Dealer_Name = Unknown Dealer
Customer_Name = Unknown Customer</t>
    </r>
  </si>
  <si>
    <t>Fix Pricing &amp; Currency Formatting</t>
  </si>
  <si>
    <r>
      <t>Sale_Price</t>
    </r>
    <r>
      <rPr>
        <sz val="11"/>
        <color theme="1"/>
        <rFont val="Calibri"/>
        <family val="2"/>
        <scheme val="minor"/>
      </rPr>
      <t xml:space="preserve"> stored as text with </t>
    </r>
    <r>
      <rPr>
        <sz val="10"/>
        <color theme="1"/>
        <rFont val="Arial Unicode MS"/>
      </rPr>
      <t>$</t>
    </r>
    <r>
      <rPr>
        <sz val="11"/>
        <color theme="1"/>
        <rFont val="Calibri"/>
        <family val="2"/>
        <scheme val="minor"/>
      </rPr>
      <t xml:space="preserve"> and commas</t>
    </r>
    <r>
      <rPr>
        <sz val="10"/>
        <color theme="1"/>
        <rFont val="Arial Unicode MS"/>
      </rPr>
      <t xml:space="preserve">                                                                  Standardize price band i.e.,                                                                                   Under $25,000
$25,000–$39,900
$40,000–$59,900
$60,000–$89,900
$90,000–$129,900
Over $130,000                                           </t>
    </r>
  </si>
  <si>
    <t>Validate Date Fields</t>
  </si>
  <si>
    <r>
      <t xml:space="preserve">Two date columns: </t>
    </r>
    <r>
      <rPr>
        <sz val="10"/>
        <color theme="1"/>
        <rFont val="Arial Unicode MS"/>
      </rPr>
      <t>Sales_Date_A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Sales_Date_B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Converted all date fields to Date format</t>
    </r>
  </si>
  <si>
    <t>Normalize Text Fields</t>
  </si>
  <si>
    <t xml:space="preserve">Applied PROPER function to Dealer Region, Fuel Type and Vehicle_Sub-category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</si>
</sst>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[$-409]mmm\-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43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2" fontId="0" fillId="0" borderId="0" xfId="0" applyNumberFormat="1"/>
    <xf numFmtId="0" fontId="19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4" formatCode="&quot;$&quot;#,##0.00"/>
    </dxf>
    <dxf>
      <numFmt numFmtId="164" formatCode="&quot;$&quot;#,##0.00"/>
    </dxf>
    <dxf>
      <numFmt numFmtId="35" formatCode="_(* #,##0.00_);_(* \(#,##0.00\);_(* &quot;-&quot;??_);_(@_)"/>
    </dxf>
    <dxf>
      <alignment horizontal="center"/>
    </dxf>
    <dxf>
      <numFmt numFmtId="19" formatCode="m/d/yyyy"/>
    </dxf>
    <dxf>
      <numFmt numFmtId="19" formatCode="m/d/yyyy"/>
    </dxf>
    <dxf>
      <alignment horizontal="left"/>
    </dxf>
    <dxf>
      <alignment horizontal="left"/>
    </dxf>
    <dxf>
      <numFmt numFmtId="2" formatCode="0.00"/>
    </dxf>
    <dxf>
      <numFmt numFmtId="35" formatCode="_(* #,##0.00_);_(* \(#,##0.00\);_(* &quot;-&quot;??_);_(@_)"/>
    </dxf>
    <dxf>
      <numFmt numFmtId="0" formatCode="General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[Car_Sales_Shanzeh_Butt.xlsx]Exercise 2 &amp; 3!PivotTable15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Volume by Make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2 &amp; 3'!$B$26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'Exercise 2 &amp; 3'!$A$27:$A$36</c:f>
              <c:strCache>
                <c:ptCount val="9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Hyundai</c:v>
                </c:pt>
                <c:pt idx="5">
                  <c:v>Jeep</c:v>
                </c:pt>
                <c:pt idx="6">
                  <c:v>Nissan</c:v>
                </c:pt>
                <c:pt idx="7">
                  <c:v>Tesla</c:v>
                </c:pt>
                <c:pt idx="8">
                  <c:v>Toyota</c:v>
                </c:pt>
              </c:strCache>
            </c:strRef>
          </c:cat>
          <c:val>
            <c:numRef>
              <c:f>'Exercise 2 &amp; 3'!$B$27:$B$36</c:f>
              <c:numCache>
                <c:formatCode>General</c:formatCode>
                <c:ptCount val="9"/>
                <c:pt idx="0">
                  <c:v>11</c:v>
                </c:pt>
                <c:pt idx="1">
                  <c:v>16</c:v>
                </c:pt>
                <c:pt idx="2">
                  <c:v>16</c:v>
                </c:pt>
                <c:pt idx="3">
                  <c:v>17</c:v>
                </c:pt>
                <c:pt idx="4">
                  <c:v>17</c:v>
                </c:pt>
                <c:pt idx="5">
                  <c:v>14</c:v>
                </c:pt>
                <c:pt idx="6">
                  <c:v>17</c:v>
                </c:pt>
                <c:pt idx="7">
                  <c:v>11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5-441E-8DDF-548651D5E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249392"/>
        <c:axId val="536249872"/>
      </c:barChart>
      <c:catAx>
        <c:axId val="53624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49872"/>
        <c:crosses val="autoZero"/>
        <c:auto val="1"/>
        <c:lblAlgn val="ctr"/>
        <c:lblOffset val="100"/>
        <c:noMultiLvlLbl val="0"/>
      </c:catAx>
      <c:valAx>
        <c:axId val="5362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4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[Car_Sales_Shanzeh_Butt.xlsx]Exercise 2 &amp; 3!PivotTable16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'Exercise 2 &amp; 3'!$B$49:$B$50</c:f>
              <c:strCache>
                <c:ptCount val="1"/>
                <c:pt idx="0">
                  <c:v>Coupe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'Exercise 2 &amp; 3'!$A$51:$A$55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'Exercise 2 &amp; 3'!$B$51:$B$55</c:f>
              <c:numCache>
                <c:formatCode>General</c:formatCode>
                <c:ptCount val="4"/>
                <c:pt idx="1">
                  <c:v>3</c:v>
                </c:pt>
                <c:pt idx="2">
                  <c:v>4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C-439D-A250-F8997717228F}"/>
            </c:ext>
          </c:extLst>
        </c:ser>
        <c:ser>
          <c:idx val="1"/>
          <c:order val="1"/>
          <c:tx>
            <c:strRef>
              <c:f>'Exercise 2 &amp; 3'!$C$49:$C$50</c:f>
              <c:strCache>
                <c:ptCount val="1"/>
                <c:pt idx="0">
                  <c:v>Sedan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'Exercise 2 &amp; 3'!$A$51:$A$55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'Exercise 2 &amp; 3'!$C$51:$C$55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C-439D-A250-F8997717228F}"/>
            </c:ext>
          </c:extLst>
        </c:ser>
        <c:ser>
          <c:idx val="2"/>
          <c:order val="2"/>
          <c:tx>
            <c:strRef>
              <c:f>'Exercise 2 &amp; 3'!$D$49:$D$50</c:f>
              <c:strCache>
                <c:ptCount val="1"/>
                <c:pt idx="0">
                  <c:v>Suv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'Exercise 2 &amp; 3'!$A$51:$A$55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'Exercise 2 &amp; 3'!$D$51:$D$55</c:f>
              <c:numCache>
                <c:formatCode>General</c:formatCode>
                <c:ptCount val="4"/>
                <c:pt idx="0">
                  <c:v>5</c:v>
                </c:pt>
                <c:pt idx="1">
                  <c:v>18</c:v>
                </c:pt>
                <c:pt idx="2">
                  <c:v>22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C-439D-A250-F8997717228F}"/>
            </c:ext>
          </c:extLst>
        </c:ser>
        <c:ser>
          <c:idx val="3"/>
          <c:order val="3"/>
          <c:tx>
            <c:strRef>
              <c:f>'Exercise 2 &amp; 3'!$E$49:$E$50</c:f>
              <c:strCache>
                <c:ptCount val="1"/>
                <c:pt idx="0">
                  <c:v>Truck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'Exercise 2 &amp; 3'!$A$51:$A$55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'Exercise 2 &amp; 3'!$E$51:$E$55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BC-439D-A250-F8997717228F}"/>
            </c:ext>
          </c:extLst>
        </c:ser>
        <c:ser>
          <c:idx val="4"/>
          <c:order val="4"/>
          <c:tx>
            <c:strRef>
              <c:f>'Exercise 2 &amp; 3'!$F$49:$F$50</c:f>
              <c:strCache>
                <c:ptCount val="1"/>
                <c:pt idx="0">
                  <c:v>Van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'Exercise 2 &amp; 3'!$A$51:$A$55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'Exercise 2 &amp; 3'!$F$51:$F$55</c:f>
              <c:numCache>
                <c:formatCode>General</c:formatCode>
                <c:ptCount val="4"/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BC-439D-A250-F8997717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353232"/>
        <c:axId val="1814349872"/>
      </c:lineChart>
      <c:catAx>
        <c:axId val="18143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49872"/>
        <c:crosses val="autoZero"/>
        <c:auto val="1"/>
        <c:lblAlgn val="ctr"/>
        <c:lblOffset val="100"/>
        <c:noMultiLvlLbl val="0"/>
      </c:catAx>
      <c:valAx>
        <c:axId val="18143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Share by Vehicle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6-4B60-844C-65438026C7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26-4B60-844C-65438026C7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26-4B60-844C-65438026C7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26-4B60-844C-65438026C7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26-4B60-844C-65438026C7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Coupe</c:v>
              </c:pt>
              <c:pt idx="1">
                <c:v>Sedan</c:v>
              </c:pt>
              <c:pt idx="2">
                <c:v>Suv</c:v>
              </c:pt>
              <c:pt idx="3">
                <c:v>Truck</c:v>
              </c:pt>
              <c:pt idx="4">
                <c:v>Van</c:v>
              </c:pt>
            </c:strLit>
          </c:cat>
          <c:val>
            <c:numLit>
              <c:formatCode>General</c:formatCode>
              <c:ptCount val="5"/>
              <c:pt idx="0">
                <c:v>1314901</c:v>
              </c:pt>
              <c:pt idx="1">
                <c:v>1601400</c:v>
              </c:pt>
              <c:pt idx="2">
                <c:v>2433600</c:v>
              </c:pt>
              <c:pt idx="3">
                <c:v>652800</c:v>
              </c:pt>
              <c:pt idx="4">
                <c:v>199501</c:v>
              </c:pt>
            </c:numLit>
          </c:val>
          <c:extLst>
            <c:ext xmlns:c16="http://schemas.microsoft.com/office/drawing/2014/chart" uri="{C3380CC4-5D6E-409C-BE32-E72D297353CC}">
              <c16:uniqueId val="{0000000A-4426-4B60-844C-65438026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[Car_Sales_Shanzeh_Butt.xlsx]Exercise 2 &amp; 3!PivotTable18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19553805774272E-2"/>
              <c:y val="-0.141169072615923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9430664916885385E-2"/>
              <c:y val="6.25346310877806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63998250218722E-2"/>
              <c:y val="7.17938903470398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2 &amp; 3'!$B$85</c:f>
              <c:strCache>
                <c:ptCount val="1"/>
                <c:pt idx="0">
                  <c:v>Count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'Exercise 2 &amp; 3'!$A$86:$A$91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'Exercise 2 &amp; 3'!$B$86:$B$91</c:f>
              <c:numCache>
                <c:formatCode>General</c:formatCode>
                <c:ptCount val="5"/>
                <c:pt idx="0">
                  <c:v>17</c:v>
                </c:pt>
                <c:pt idx="1">
                  <c:v>40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D-4F88-8AC2-C7A63B6B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437936"/>
        <c:axId val="1812437456"/>
      </c:barChart>
      <c:lineChart>
        <c:grouping val="standard"/>
        <c:varyColors val="0"/>
        <c:ser>
          <c:idx val="1"/>
          <c:order val="1"/>
          <c:tx>
            <c:strRef>
              <c:f>'Exercise 2 &amp; 3'!$C$85</c:f>
              <c:strCache>
                <c:ptCount val="1"/>
                <c:pt idx="0">
                  <c:v>Average of Sale_Price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8319553805774272E-2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4D-4F88-8AC2-C7A63B6B51B6}"/>
                </c:ext>
              </c:extLst>
            </c:dLbl>
            <c:dLbl>
              <c:idx val="2"/>
              <c:layout>
                <c:manualLayout>
                  <c:x val="-7.9430664916885385E-2"/>
                  <c:y val="6.2534631087780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4D-4F88-8AC2-C7A63B6B51B6}"/>
                </c:ext>
              </c:extLst>
            </c:dLbl>
            <c:dLbl>
              <c:idx val="4"/>
              <c:layout>
                <c:manualLayout>
                  <c:x val="-6.2763998250218722E-2"/>
                  <c:y val="7.1793890347039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4D-4F88-8AC2-C7A63B6B51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'Exercise 2 &amp; 3'!$A$86:$A$91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'Exercise 2 &amp; 3'!$C$86:$C$91</c:f>
              <c:numCache>
                <c:formatCode>0.00</c:formatCode>
                <c:ptCount val="5"/>
                <c:pt idx="0">
                  <c:v>77347.117647058825</c:v>
                </c:pt>
                <c:pt idx="1">
                  <c:v>40035</c:v>
                </c:pt>
                <c:pt idx="2">
                  <c:v>39251.612903225803</c:v>
                </c:pt>
                <c:pt idx="3">
                  <c:v>54400</c:v>
                </c:pt>
                <c:pt idx="4">
                  <c:v>33250.166666666664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D-4F88-8AC2-C7A63B6B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320480"/>
        <c:axId val="1809319520"/>
      </c:lineChart>
      <c:catAx>
        <c:axId val="18124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37456"/>
        <c:crosses val="autoZero"/>
        <c:auto val="1"/>
        <c:lblAlgn val="ctr"/>
        <c:lblOffset val="100"/>
        <c:noMultiLvlLbl val="0"/>
      </c:catAx>
      <c:valAx>
        <c:axId val="18124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37936"/>
        <c:crosses val="autoZero"/>
        <c:crossBetween val="between"/>
      </c:valAx>
      <c:valAx>
        <c:axId val="180931952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20480"/>
        <c:crosses val="max"/>
        <c:crossBetween val="between"/>
      </c:valAx>
      <c:catAx>
        <c:axId val="1809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9319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[Car_Sales_Shanzeh_Butt.xlsx]Line Charts!PivotTable6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SUV's &amp; Sedans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Charts'!$B$6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Charts'!$A$7:$A$11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'Line Charts'!$B$7:$B$11</c:f>
              <c:numCache>
                <c:formatCode>General</c:formatCode>
                <c:ptCount val="4"/>
                <c:pt idx="0">
                  <c:v>515800</c:v>
                </c:pt>
                <c:pt idx="1">
                  <c:v>1024800</c:v>
                </c:pt>
                <c:pt idx="2">
                  <c:v>1183500</c:v>
                </c:pt>
                <c:pt idx="3">
                  <c:v>1310900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5-4AF0-9BE7-C289CFBD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21631"/>
        <c:axId val="561916351"/>
      </c:lineChart>
      <c:catAx>
        <c:axId val="5619216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16351"/>
        <c:crosses val="autoZero"/>
        <c:auto val="1"/>
        <c:lblAlgn val="ctr"/>
        <c:lblOffset val="100"/>
        <c:noMultiLvlLbl val="0"/>
      </c:catAx>
      <c:valAx>
        <c:axId val="561916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2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0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0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>
            <c:manualLayout>
              <c:x val="2.7777777777777779E-3"/>
              <c:y val="7.4074074074073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Electric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4</c:v>
              </c:pt>
              <c:pt idx="2">
                <c:v>4</c:v>
              </c:pt>
              <c:pt idx="3">
                <c:v>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CF-4B08-8215-B8C0EE9EA631}"/>
            </c:ext>
          </c:extLst>
        </c:ser>
        <c:ser>
          <c:idx val="1"/>
          <c:order val="1"/>
          <c:tx>
            <c:v>Gasoline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15</c:v>
              </c:pt>
              <c:pt idx="1">
                <c:v>30</c:v>
              </c:pt>
              <c:pt idx="2">
                <c:v>38</c:v>
              </c:pt>
              <c:pt idx="3">
                <c:v>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CCF-4B08-8215-B8C0EE9EA631}"/>
            </c:ext>
          </c:extLst>
        </c:ser>
        <c:ser>
          <c:idx val="2"/>
          <c:order val="2"/>
          <c:tx>
            <c:v>Hybrid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7777777777777779E-3"/>
                  <c:y val="7.4074074074073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CF-4B08-8215-B8C0EE9EA631}"/>
                </c:ext>
              </c:extLst>
            </c:dLbl>
            <c:dLbl>
              <c:idx val="1"/>
              <c:layout>
                <c:manualLayout>
                  <c:x val="0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CF-4B08-8215-B8C0EE9EA631}"/>
                </c:ext>
              </c:extLst>
            </c:dLbl>
            <c:dLbl>
              <c:idx val="2"/>
              <c:layout>
                <c:manualLayout>
                  <c:x val="0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CF-4B08-8215-B8C0EE9EA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3</c:v>
              </c:pt>
              <c:pt idx="3">
                <c:v>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CCF-4B08-8215-B8C0EE9EA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889615"/>
        <c:axId val="1285878095"/>
      </c:lineChart>
      <c:catAx>
        <c:axId val="12858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78095"/>
        <c:crosses val="autoZero"/>
        <c:auto val="1"/>
        <c:lblAlgn val="ctr"/>
        <c:lblOffset val="100"/>
        <c:noMultiLvlLbl val="0"/>
      </c:catAx>
      <c:valAx>
        <c:axId val="12858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8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[Car_Sales_Shanzeh_Butt.xlsx]Line Charts!PivotTable6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SUV's</a:t>
            </a:r>
            <a:r>
              <a:rPr lang="en-US" baseline="0"/>
              <a:t> &amp; Sedans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 Charts'!$B$6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'Line Charts'!$A$7:$A$11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'Line Charts'!$B$7:$B$11</c:f>
              <c:numCache>
                <c:formatCode>General</c:formatCode>
                <c:ptCount val="4"/>
                <c:pt idx="0">
                  <c:v>515800</c:v>
                </c:pt>
                <c:pt idx="1">
                  <c:v>1024800</c:v>
                </c:pt>
                <c:pt idx="2">
                  <c:v>1183500</c:v>
                </c:pt>
                <c:pt idx="3">
                  <c:v>1310900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0-4F69-AF66-4B5A87ABF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71145360"/>
        <c:axId val="1806476416"/>
      </c:barChart>
      <c:catAx>
        <c:axId val="187114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76416"/>
        <c:crosses val="autoZero"/>
        <c:auto val="1"/>
        <c:lblAlgn val="ctr"/>
        <c:lblOffset val="100"/>
        <c:noMultiLvlLbl val="0"/>
      </c:catAx>
      <c:valAx>
        <c:axId val="180647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4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[Car_Sales_Shanzeh_Butt.xlsx]Line Charts!PivotTable9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per Quarter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 Charts'!$B$68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'Line Charts'!$A$69:$A$90</c:f>
              <c:multiLvlStrCache>
                <c:ptCount val="16"/>
                <c:lvl>
                  <c:pt idx="0">
                    <c:v>Q2</c:v>
                  </c:pt>
                  <c:pt idx="1">
                    <c:v>Q3</c:v>
                  </c:pt>
                  <c:pt idx="2">
                    <c:v>Q4</c:v>
                  </c:pt>
                  <c:pt idx="3">
                    <c:v>Q1</c:v>
                  </c:pt>
                  <c:pt idx="4">
                    <c:v>Q2</c:v>
                  </c:pt>
                  <c:pt idx="5">
                    <c:v>Q3</c:v>
                  </c:pt>
                  <c:pt idx="6">
                    <c:v>Q4</c:v>
                  </c:pt>
                  <c:pt idx="7">
                    <c:v>Q1</c:v>
                  </c:pt>
                  <c:pt idx="8">
                    <c:v>Q2</c:v>
                  </c:pt>
                  <c:pt idx="9">
                    <c:v>Q3</c:v>
                  </c:pt>
                  <c:pt idx="10">
                    <c:v>Q4</c:v>
                  </c:pt>
                  <c:pt idx="11">
                    <c:v>Q1</c:v>
                  </c:pt>
                  <c:pt idx="12">
                    <c:v>Q2</c:v>
                  </c:pt>
                  <c:pt idx="13">
                    <c:v>Q3</c:v>
                  </c:pt>
                  <c:pt idx="14">
                    <c:v>Q4</c:v>
                  </c:pt>
                  <c:pt idx="15">
                    <c:v>Q3</c:v>
                  </c:pt>
                </c:lvl>
                <c:lvl>
                  <c:pt idx="0">
                    <c:v>Coupe</c:v>
                  </c:pt>
                  <c:pt idx="3">
                    <c:v>Sedan</c:v>
                  </c:pt>
                  <c:pt idx="7">
                    <c:v>Suv</c:v>
                  </c:pt>
                  <c:pt idx="11">
                    <c:v>Truck</c:v>
                  </c:pt>
                  <c:pt idx="15">
                    <c:v>Van</c:v>
                  </c:pt>
                </c:lvl>
              </c:multiLvlStrCache>
            </c:multiLvlStrRef>
          </c:cat>
          <c:val>
            <c:numRef>
              <c:f>'Line Charts'!$B$69:$B$90</c:f>
              <c:numCache>
                <c:formatCode>General</c:formatCode>
                <c:ptCount val="16"/>
                <c:pt idx="0">
                  <c:v>121701</c:v>
                </c:pt>
                <c:pt idx="1">
                  <c:v>403600</c:v>
                </c:pt>
                <c:pt idx="2">
                  <c:v>789600</c:v>
                </c:pt>
                <c:pt idx="3">
                  <c:v>324500</c:v>
                </c:pt>
                <c:pt idx="4">
                  <c:v>279800</c:v>
                </c:pt>
                <c:pt idx="5">
                  <c:v>399500</c:v>
                </c:pt>
                <c:pt idx="6">
                  <c:v>597600</c:v>
                </c:pt>
                <c:pt idx="7">
                  <c:v>191300</c:v>
                </c:pt>
                <c:pt idx="8">
                  <c:v>745000</c:v>
                </c:pt>
                <c:pt idx="9">
                  <c:v>784000</c:v>
                </c:pt>
                <c:pt idx="10">
                  <c:v>713300</c:v>
                </c:pt>
                <c:pt idx="11">
                  <c:v>86500</c:v>
                </c:pt>
                <c:pt idx="12">
                  <c:v>262100</c:v>
                </c:pt>
                <c:pt idx="13">
                  <c:v>223400</c:v>
                </c:pt>
                <c:pt idx="14">
                  <c:v>80800</c:v>
                </c:pt>
                <c:pt idx="15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E-4F08-A6A3-79C4444A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9802432"/>
        <c:axId val="1929802912"/>
      </c:barChart>
      <c:catAx>
        <c:axId val="192980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02912"/>
        <c:crosses val="autoZero"/>
        <c:auto val="1"/>
        <c:lblAlgn val="ctr"/>
        <c:lblOffset val="100"/>
        <c:noMultiLvlLbl val="0"/>
      </c:catAx>
      <c:valAx>
        <c:axId val="19298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[Car_Sales_Shanzeh_Butt.xlsx]Standard vs Luxury!PivotTable2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'Standard vs Luxury'!$B$3:$B$4</c:f>
              <c:strCache>
                <c:ptCount val="1"/>
                <c:pt idx="0">
                  <c:v>Luxury/Performance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Luxury'!$B$5:$B$9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2-4E76-B87E-7B72E5018487}"/>
            </c:ext>
          </c:extLst>
        </c:ser>
        <c:ser>
          <c:idx val="1"/>
          <c:order val="1"/>
          <c:tx>
            <c:strRef>
              <c:f>'Standard vs Luxury'!$C$3:$C$4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Luxury'!$C$5:$C$9</c:f>
              <c:numCache>
                <c:formatCode>General</c:formatCode>
                <c:ptCount val="4"/>
                <c:pt idx="0">
                  <c:v>4</c:v>
                </c:pt>
                <c:pt idx="1">
                  <c:v>14</c:v>
                </c:pt>
                <c:pt idx="2">
                  <c:v>22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2-4E76-B87E-7B72E5018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45840"/>
        <c:axId val="1871148240"/>
      </c:barChart>
      <c:catAx>
        <c:axId val="187114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48240"/>
        <c:crosses val="autoZero"/>
        <c:auto val="1"/>
        <c:lblAlgn val="ctr"/>
        <c:lblOffset val="100"/>
        <c:noMultiLvlLbl val="0"/>
      </c:catAx>
      <c:valAx>
        <c:axId val="18711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4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[Car_Sales_Shanzeh_Butt.xlsx]Standard vs Luxury!PivotTable3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'Standard vs Luxury'!$B$32:$B$33</c:f>
              <c:strCache>
                <c:ptCount val="1"/>
                <c:pt idx="0">
                  <c:v>Luxury/Performance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Luxury'!$A$34:$A$38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Luxury'!$B$34:$B$38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A01-BDB8-96B20AD68F52}"/>
            </c:ext>
          </c:extLst>
        </c:ser>
        <c:ser>
          <c:idx val="1"/>
          <c:order val="1"/>
          <c:tx>
            <c:strRef>
              <c:f>'Standard vs Luxury'!$C$32:$C$33</c:f>
              <c:strCache>
                <c:ptCount val="1"/>
                <c:pt idx="0">
                  <c:v>Standard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Luxury'!$A$34:$A$38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Luxury'!$C$34:$C$38</c:f>
              <c:numCache>
                <c:formatCode>General</c:formatCode>
                <c:ptCount val="4"/>
                <c:pt idx="0">
                  <c:v>15</c:v>
                </c:pt>
                <c:pt idx="1">
                  <c:v>27</c:v>
                </c:pt>
                <c:pt idx="2">
                  <c:v>38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F45-4A01-BDB8-96B20AD68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64111328"/>
        <c:axId val="1864109408"/>
      </c:barChart>
      <c:catAx>
        <c:axId val="18641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09408"/>
        <c:crosses val="autoZero"/>
        <c:auto val="1"/>
        <c:lblAlgn val="ctr"/>
        <c:lblOffset val="100"/>
        <c:noMultiLvlLbl val="0"/>
      </c:catAx>
      <c:valAx>
        <c:axId val="18641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1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[Car_Sales_Shanzeh_Butt.xlsx]Standard vs Luxury!PivotTable4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'Standard vs Luxury'!$B$58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'Standard vs Luxury'!$A$59:$A$63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'Standard vs Luxury'!$B$59:$B$63</c:f>
              <c:numCache>
                <c:formatCode>General</c:formatCode>
                <c:ptCount val="4"/>
                <c:pt idx="0">
                  <c:v>14</c:v>
                </c:pt>
                <c:pt idx="1">
                  <c:v>7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F-4F8E-A2BE-E881545D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280512"/>
        <c:axId val="1809282912"/>
      </c:barChart>
      <c:catAx>
        <c:axId val="18092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282912"/>
        <c:crosses val="autoZero"/>
        <c:auto val="1"/>
        <c:lblAlgn val="ctr"/>
        <c:lblOffset val="100"/>
        <c:noMultiLvlLbl val="0"/>
      </c:catAx>
      <c:valAx>
        <c:axId val="18092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28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[Car_Sales_Shanzeh_Butt.xlsx]Standard vs Luxury!PivotTable10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'Standard vs Luxury'!$B$76:$B$77</c:f>
              <c:strCache>
                <c:ptCount val="1"/>
                <c:pt idx="0">
                  <c:v>Luxury/Performance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Luxury'!$A$78:$A$82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Luxury'!$B$78:$B$82</c:f>
              <c:numCache>
                <c:formatCode>_(* #,##0.00_);_(* \(#,##0.00\);_(* "-"??_);_(@_)</c:formatCode>
                <c:ptCount val="4"/>
                <c:pt idx="0">
                  <c:v>135400</c:v>
                </c:pt>
                <c:pt idx="1">
                  <c:v>483200</c:v>
                </c:pt>
                <c:pt idx="2">
                  <c:v>764300</c:v>
                </c:pt>
                <c:pt idx="3">
                  <c:v>548500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B-44E0-B0F9-AD377884A8F2}"/>
            </c:ext>
          </c:extLst>
        </c:ser>
        <c:ser>
          <c:idx val="1"/>
          <c:order val="1"/>
          <c:tx>
            <c:strRef>
              <c:f>'Standard vs Luxury'!$C$76:$C$77</c:f>
              <c:strCache>
                <c:ptCount val="1"/>
                <c:pt idx="0">
                  <c:v>Standard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'Standard vs Luxury'!$A$78:$A$82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'Standard vs Luxury'!$C$78:$C$82</c:f>
              <c:numCache>
                <c:formatCode>_(* #,##0.00_);_(* \(#,##0.00\);_(* "-"??_);_(@_)</c:formatCode>
                <c:ptCount val="4"/>
                <c:pt idx="0">
                  <c:v>466900</c:v>
                </c:pt>
                <c:pt idx="1">
                  <c:v>925401</c:v>
                </c:pt>
                <c:pt idx="2">
                  <c:v>1245701</c:v>
                </c:pt>
                <c:pt idx="3">
                  <c:v>1632800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B-44E0-B0F9-AD377884A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71639856"/>
        <c:axId val="1935650192"/>
      </c:barChart>
      <c:catAx>
        <c:axId val="1371639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50192"/>
        <c:crosses val="autoZero"/>
        <c:auto val="1"/>
        <c:lblAlgn val="ctr"/>
        <c:lblOffset val="100"/>
        <c:noMultiLvlLbl val="0"/>
      </c:catAx>
      <c:valAx>
        <c:axId val="1935650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63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[Car_Sales_Shanzeh_Butt.xlsx]Charts for Analysis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for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for Analysis '!$A$4:$A$8</c:f>
              <c:strCache>
                <c:ptCount val="4"/>
                <c:pt idx="0">
                  <c:v>Accent</c:v>
                </c:pt>
                <c:pt idx="1">
                  <c:v>Spark</c:v>
                </c:pt>
                <c:pt idx="2">
                  <c:v>Versa</c:v>
                </c:pt>
                <c:pt idx="3">
                  <c:v>Yaris</c:v>
                </c:pt>
              </c:strCache>
            </c:strRef>
          </c:cat>
          <c:val>
            <c:numRef>
              <c:f>'Charts for Analysis '!$B$4:$B$8</c:f>
              <c:numCache>
                <c:formatCode>General</c:formatCode>
                <c:ptCount val="4"/>
                <c:pt idx="0">
                  <c:v>18900</c:v>
                </c:pt>
                <c:pt idx="1">
                  <c:v>16500</c:v>
                </c:pt>
                <c:pt idx="2">
                  <c:v>17800</c:v>
                </c:pt>
                <c:pt idx="3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6-44C2-9003-691F9A7F1D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4583328"/>
        <c:axId val="1934584288"/>
      </c:barChart>
      <c:catAx>
        <c:axId val="193458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584288"/>
        <c:crosses val="autoZero"/>
        <c:auto val="1"/>
        <c:lblAlgn val="ctr"/>
        <c:lblOffset val="100"/>
        <c:noMultiLvlLbl val="0"/>
      </c:catAx>
      <c:valAx>
        <c:axId val="1934584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45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[Car_Sales_Shanzeh_Butt.xlsx]Charts for Analysis 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EV's &amp; Hybrids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'Charts for Analysis '!$B$45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'Charts for Analysis '!$A$46:$A$50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'Charts for Analysis '!$B$46:$B$50</c:f>
              <c:numCache>
                <c:formatCode>"$"#,##0.00</c:formatCode>
                <c:ptCount val="4"/>
                <c:pt idx="0">
                  <c:v>120700</c:v>
                </c:pt>
                <c:pt idx="1">
                  <c:v>321100</c:v>
                </c:pt>
                <c:pt idx="2">
                  <c:v>640900</c:v>
                </c:pt>
                <c:pt idx="3">
                  <c:v>881300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D-402E-8824-25541609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30002560"/>
        <c:axId val="1930003520"/>
      </c:lineChart>
      <c:catAx>
        <c:axId val="19300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03520"/>
        <c:crosses val="autoZero"/>
        <c:auto val="1"/>
        <c:lblAlgn val="ctr"/>
        <c:lblOffset val="100"/>
        <c:noMultiLvlLbl val="0"/>
      </c:catAx>
      <c:valAx>
        <c:axId val="1930003520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025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[Car_Sales_Shanzeh_Butt.xlsx]Charts for Analysis !PivotTable14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364806251070466E-2"/>
          <c:y val="0.15072994891966365"/>
          <c:w val="0.81922204168923329"/>
          <c:h val="0.51032901521662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'Charts for Analysis '!$B$68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'Charts for Analysis '!$A$69:$A$123</c:f>
              <c:multiLvlStrCache>
                <c:ptCount val="30"/>
                <c:lvl>
                  <c:pt idx="0">
                    <c:v>Q2</c:v>
                  </c:pt>
                  <c:pt idx="1">
                    <c:v>Q2</c:v>
                  </c:pt>
                  <c:pt idx="2">
                    <c:v>Q3</c:v>
                  </c:pt>
                  <c:pt idx="3">
                    <c:v>Q3</c:v>
                  </c:pt>
                  <c:pt idx="4">
                    <c:v>Q2</c:v>
                  </c:pt>
                  <c:pt idx="5">
                    <c:v>Q3</c:v>
                  </c:pt>
                  <c:pt idx="6">
                    <c:v>Q2</c:v>
                  </c:pt>
                  <c:pt idx="7">
                    <c:v>Q3</c:v>
                  </c:pt>
                  <c:pt idx="8">
                    <c:v>Q2</c:v>
                  </c:pt>
                  <c:pt idx="9">
                    <c:v>Q3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Q2</c:v>
                  </c:pt>
                  <c:pt idx="13">
                    <c:v>Q3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Q2</c:v>
                  </c:pt>
                  <c:pt idx="17">
                    <c:v>Q3</c:v>
                  </c:pt>
                  <c:pt idx="18">
                    <c:v>Q2</c:v>
                  </c:pt>
                  <c:pt idx="19">
                    <c:v>Q3</c:v>
                  </c:pt>
                  <c:pt idx="20">
                    <c:v>Q2</c:v>
                  </c:pt>
                  <c:pt idx="21">
                    <c:v>Q2</c:v>
                  </c:pt>
                  <c:pt idx="22">
                    <c:v>Q2</c:v>
                  </c:pt>
                  <c:pt idx="23">
                    <c:v>Q3</c:v>
                  </c:pt>
                  <c:pt idx="24">
                    <c:v>Q2</c:v>
                  </c:pt>
                  <c:pt idx="25">
                    <c:v>Q3</c:v>
                  </c:pt>
                  <c:pt idx="26">
                    <c:v>Q3</c:v>
                  </c:pt>
                  <c:pt idx="27">
                    <c:v>Q3</c:v>
                  </c:pt>
                  <c:pt idx="28">
                    <c:v>Q3</c:v>
                  </c:pt>
                  <c:pt idx="29">
                    <c:v>Q3</c:v>
                  </c:pt>
                </c:lvl>
                <c:lvl>
                  <c:pt idx="0">
                    <c:v>Midwest</c:v>
                  </c:pt>
                  <c:pt idx="1">
                    <c:v>Northeast</c:v>
                  </c:pt>
                  <c:pt idx="3">
                    <c:v>West</c:v>
                  </c:pt>
                  <c:pt idx="4">
                    <c:v>Midwest</c:v>
                  </c:pt>
                  <c:pt idx="6">
                    <c:v>Northeast</c:v>
                  </c:pt>
                  <c:pt idx="8">
                    <c:v>South</c:v>
                  </c:pt>
                  <c:pt idx="10">
                    <c:v>West</c:v>
                  </c:pt>
                  <c:pt idx="12">
                    <c:v>Midwest</c:v>
                  </c:pt>
                  <c:pt idx="14">
                    <c:v>Northeast</c:v>
                  </c:pt>
                  <c:pt idx="16">
                    <c:v>South</c:v>
                  </c:pt>
                  <c:pt idx="18">
                    <c:v>West</c:v>
                  </c:pt>
                  <c:pt idx="20">
                    <c:v>Midwest</c:v>
                  </c:pt>
                  <c:pt idx="21">
                    <c:v>Northeast</c:v>
                  </c:pt>
                  <c:pt idx="22">
                    <c:v>South</c:v>
                  </c:pt>
                  <c:pt idx="24">
                    <c:v>West</c:v>
                  </c:pt>
                  <c:pt idx="26">
                    <c:v>Midwest</c:v>
                  </c:pt>
                  <c:pt idx="27">
                    <c:v>Northeast</c:v>
                  </c:pt>
                  <c:pt idx="28">
                    <c:v>South</c:v>
                  </c:pt>
                  <c:pt idx="29">
                    <c:v>West</c:v>
                  </c:pt>
                </c:lvl>
                <c:lvl>
                  <c:pt idx="0">
                    <c:v>Coupe</c:v>
                  </c:pt>
                  <c:pt idx="4">
                    <c:v>Sedan</c:v>
                  </c:pt>
                  <c:pt idx="12">
                    <c:v>Suv</c:v>
                  </c:pt>
                  <c:pt idx="20">
                    <c:v>Truck</c:v>
                  </c:pt>
                  <c:pt idx="26">
                    <c:v>Van</c:v>
                  </c:pt>
                </c:lvl>
              </c:multiLvlStrCache>
            </c:multiLvlStrRef>
          </c:cat>
          <c:val>
            <c:numRef>
              <c:f>'Charts for Analysis '!$B$69:$B$123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F-4A64-A0A7-A9CC2FBB81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68600080"/>
        <c:axId val="1368600560"/>
      </c:barChart>
      <c:catAx>
        <c:axId val="13686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00560"/>
        <c:crosses val="autoZero"/>
        <c:auto val="1"/>
        <c:lblAlgn val="ctr"/>
        <c:lblOffset val="100"/>
        <c:noMultiLvlLbl val="0"/>
      </c:catAx>
      <c:valAx>
        <c:axId val="13686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676776</xdr:colOff>
      <xdr:row>21</xdr:row>
      <xdr:rowOff>183816</xdr:rowOff>
    </xdr:from>
    <xdr:to>
      <xdr:col>13</xdr:col>
      <xdr:colOff>1361907</xdr:colOff>
      <xdr:row>35</xdr:row>
      <xdr:rowOff>68179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2CE8D-8037-7801-2BE9-D912C18F7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838868</xdr:colOff>
      <xdr:row>42</xdr:row>
      <xdr:rowOff>140703</xdr:rowOff>
    </xdr:from>
    <xdr:to>
      <xdr:col>13</xdr:col>
      <xdr:colOff>1291723</xdr:colOff>
      <xdr:row>57</xdr:row>
      <xdr:rowOff>1337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EE3D95-91A0-15D7-D1F4-8AD6FEDD6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183817</xdr:colOff>
      <xdr:row>65</xdr:row>
      <xdr:rowOff>142040</xdr:rowOff>
    </xdr:from>
    <xdr:to>
      <xdr:col>12</xdr:col>
      <xdr:colOff>158750</xdr:colOff>
      <xdr:row>79</xdr:row>
      <xdr:rowOff>83553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2346E6-AA01-464C-AAB7-F6CBDC6F7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103605</xdr:colOff>
      <xdr:row>84</xdr:row>
      <xdr:rowOff>65505</xdr:rowOff>
    </xdr:from>
    <xdr:to>
      <xdr:col>11</xdr:col>
      <xdr:colOff>163763</xdr:colOff>
      <xdr:row>98</xdr:row>
      <xdr:rowOff>118310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E546DF-3D1A-AC0B-DD19-C0FFECB9E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550580</xdr:colOff>
      <xdr:row>1</xdr:row>
      <xdr:rowOff>133750</xdr:rowOff>
    </xdr:from>
    <xdr:to>
      <xdr:col>15</xdr:col>
      <xdr:colOff>550580</xdr:colOff>
      <xdr:row>16</xdr:row>
      <xdr:rowOff>176612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E8B4D-F33C-878B-25B0-4A34F39BA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377615</xdr:colOff>
      <xdr:row>41</xdr:row>
      <xdr:rowOff>17092</xdr:rowOff>
    </xdr:from>
    <xdr:to>
      <xdr:col>15</xdr:col>
      <xdr:colOff>518977</xdr:colOff>
      <xdr:row>55</xdr:row>
      <xdr:rowOff>143142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88D6E-54D3-2995-147D-DBB7553C2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175365</xdr:colOff>
      <xdr:row>19</xdr:row>
      <xdr:rowOff>34896</xdr:rowOff>
    </xdr:from>
    <xdr:to>
      <xdr:col>15</xdr:col>
      <xdr:colOff>480700</xdr:colOff>
      <xdr:row>33</xdr:row>
      <xdr:rowOff>160947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0B1AF-0317-40FC-E719-38765FD2E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647164</xdr:colOff>
      <xdr:row>66</xdr:row>
      <xdr:rowOff>159521</xdr:rowOff>
    </xdr:from>
    <xdr:to>
      <xdr:col>15</xdr:col>
      <xdr:colOff>26704</xdr:colOff>
      <xdr:row>83</xdr:row>
      <xdr:rowOff>17804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852E10-5382-ACC7-ED77-3C810BEAA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2</xdr:row>
      <xdr:rowOff>157162</xdr:rowOff>
    </xdr:from>
    <xdr:to>
      <xdr:col>15</xdr:col>
      <xdr:colOff>209550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405F6-E776-C376-AE55-BC00D08F5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1085850</xdr:colOff>
      <xdr:row>26</xdr:row>
      <xdr:rowOff>176212</xdr:rowOff>
    </xdr:from>
    <xdr:to>
      <xdr:col>14</xdr:col>
      <xdr:colOff>9525</xdr:colOff>
      <xdr:row>45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22D3EF-4E7B-50EB-A27C-DC704848D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295275</xdr:colOff>
      <xdr:row>54</xdr:row>
      <xdr:rowOff>52387</xdr:rowOff>
    </xdr:from>
    <xdr:to>
      <xdr:col>11</xdr:col>
      <xdr:colOff>47625</xdr:colOff>
      <xdr:row>68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0105CD-0A84-1B84-B1D5-A271592E9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1085849</xdr:colOff>
      <xdr:row>71</xdr:row>
      <xdr:rowOff>85725</xdr:rowOff>
    </xdr:from>
    <xdr:to>
      <xdr:col>14</xdr:col>
      <xdr:colOff>457199</xdr:colOff>
      <xdr:row>89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6F4702-2559-C8DE-35EE-E64E42E19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11</xdr:row>
      <xdr:rowOff>119061</xdr:rowOff>
    </xdr:from>
    <xdr:to>
      <xdr:col>17</xdr:col>
      <xdr:colOff>647700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10654-ADFC-E109-13A0-95D97F922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43</xdr:row>
      <xdr:rowOff>71437</xdr:rowOff>
    </xdr:from>
    <xdr:to>
      <xdr:col>12</xdr:col>
      <xdr:colOff>85725</xdr:colOff>
      <xdr:row>57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7C0FB1-CF73-8D6D-9193-46A927141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247649</xdr:colOff>
      <xdr:row>66</xdr:row>
      <xdr:rowOff>138111</xdr:rowOff>
    </xdr:from>
    <xdr:to>
      <xdr:col>13</xdr:col>
      <xdr:colOff>66674</xdr:colOff>
      <xdr:row>82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8526F7-BBA1-8BD8-1F23-27378FEF8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0.41446</cdr:x>
      <cdr:y>0.03002</cdr:y>
    </cdr:from>
    <cdr:to>
      <cdr:x>0.71958</cdr:x>
      <cdr:y>0.12164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46D354-3164-9C3E-0068-A0E155A801EB}"/>
            </a:ext>
          </a:extLst>
        </cdr:cNvPr>
        <cdr:cNvSpPr txBox="1"/>
      </cdr:nvSpPr>
      <cdr:spPr>
        <a:xfrm xmlns:a="http://schemas.openxmlformats.org/drawingml/2006/main">
          <a:off x="2238375" y="90489"/>
          <a:ext cx="16478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solidFill>
                <a:schemeClr val="bg1"/>
              </a:solidFill>
            </a:rPr>
            <a:t>Q2</a:t>
          </a:r>
          <a:r>
            <a:rPr lang="en-US" sz="1100" b="1" baseline="0">
              <a:solidFill>
                <a:schemeClr val="bg1"/>
              </a:solidFill>
            </a:rPr>
            <a:t> &amp; Q3</a:t>
          </a:r>
          <a:endParaRPr lang="en-US" sz="1100" b="1">
            <a:solidFill>
              <a:schemeClr val="bg1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zeh Butt" refreshedDate="46017.77491226852" createdVersion="8" refreshedVersion="8" minRefreshableVersion="3" recordCount="137" xr:uid="{701AF6AA-4E92-4C0E-9DF0-304C4991E0AE}">
  <cacheSource type="worksheet">
    <worksheetSource name="Car_Sales"/>
  </cacheSource>
  <cacheFields count="21">
    <cacheField name="VIN" numFmtId="0">
      <sharedItems/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 count="11">
        <s v="Subcompact/Compact Car"/>
        <s v="Full-Size Car"/>
        <s v="Mid/Full-Size SUV"/>
        <s v="Compact SUV"/>
        <s v="Pickup Truck"/>
        <s v="Sports Coupe"/>
        <s v="Luxury Coupe"/>
        <s v="Electric Vehicle"/>
        <s v="Van/Minivan"/>
        <s v="Hybrid Luxury Coupe"/>
        <s v="Other"/>
      </sharedItems>
    </cacheField>
    <cacheField name="Market_Segment" numFmtId="0">
      <sharedItems count="2">
        <s v="Standard"/>
        <s v="Luxury/Performance"/>
      </sharedItems>
    </cacheField>
    <cacheField name="Sale_Price" numFmtId="164">
      <sharedItems containsSemiMixedTypes="0" containsString="0" containsNumber="1" containsInteger="1" minValue="16500" maxValue="199900" count="86">
        <n v="24500"/>
        <n v="26800"/>
        <n v="22900"/>
        <n v="29500"/>
        <n v="38900"/>
        <n v="42000"/>
        <n v="25500"/>
        <n v="45900"/>
        <n v="89500"/>
        <n v="28900"/>
        <n v="23200"/>
        <n v="31200"/>
        <n v="27500"/>
        <n v="35800"/>
        <n v="41200"/>
        <n v="44500"/>
        <n v="24800"/>
        <n v="59900"/>
        <n v="52900"/>
        <n v="29800"/>
        <n v="32500"/>
        <n v="36800"/>
        <n v="42900"/>
        <n v="58900"/>
        <n v="33500"/>
        <n v="26500"/>
        <n v="27900"/>
        <n v="30200"/>
        <n v="39500"/>
        <n v="99900"/>
        <n v="42500"/>
        <n v="44800"/>
        <n v="34500"/>
        <n v="48900"/>
        <n v="31800"/>
        <n v="35900"/>
        <n v="35901"/>
        <n v="49900"/>
        <n v="39800"/>
        <n v="37900"/>
        <n v="79900"/>
        <n v="26900"/>
        <n v="18900"/>
        <n v="43500"/>
        <n v="89900"/>
        <n v="129900"/>
        <n v="37800"/>
        <n v="56900"/>
        <n v="51200"/>
        <n v="47500"/>
        <n v="32900"/>
        <n v="28901"/>
        <n v="179900"/>
        <n v="24900"/>
        <n v="31500"/>
        <n v="23500"/>
        <n v="62900"/>
        <n v="39900"/>
        <n v="38500"/>
        <n v="21900"/>
        <n v="35200"/>
        <n v="74900"/>
        <n v="19900"/>
        <n v="18500"/>
        <n v="17800"/>
        <n v="23900"/>
        <n v="16500"/>
        <n v="149900"/>
        <n v="21800"/>
        <n v="25800"/>
        <n v="64900"/>
        <n v="58500"/>
        <n v="31900"/>
        <n v="55900"/>
        <n v="83900"/>
        <n v="47900"/>
        <n v="43900"/>
        <n v="47800"/>
        <n v="65900"/>
        <n v="41900"/>
        <n v="61900"/>
        <n v="106900"/>
        <n v="69900"/>
        <n v="51900"/>
        <n v="115900"/>
        <n v="199900"/>
      </sharedItems>
    </cacheField>
    <cacheField name="Sale_Price_Segment" numFmtId="0">
      <sharedItems/>
    </cacheField>
    <cacheField name="Customer_Name" numFmtId="0">
      <sharedItems/>
    </cacheField>
    <cacheField name="Customer_Email" numFmtId="0">
      <sharedItems/>
    </cacheField>
    <cacheField name="Dealer_Name" numFmtId="0">
      <sharedItems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 count="4">
        <s v="Gasoline"/>
        <s v="Electric"/>
        <s v="Hybrid"/>
        <s v="Hydrogen"/>
      </sharedItems>
    </cacheField>
    <cacheField name="Engine_Size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SemiMixedTypes="0" containsString="0" containsNumber="1" containsInteger="1" minValue="2016" maxValue="2024"/>
    </cacheField>
    <cacheField name="Sales_Date_A" numFmtId="165">
      <sharedItems containsSemiMixedTypes="0" containsNonDate="0" containsDate="1" containsString="0" minDate="2024-01-01T00:00:00" maxDate="2024-12-02T00:00:00"/>
    </cacheField>
    <cacheField name="Sales_Date_B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  <fieldGroup par="20"/>
    </cacheField>
    <cacheField name="Quarter" numFmtId="0">
      <sharedItems count="4">
        <s v="Q1"/>
        <s v="Q2"/>
        <s v="Q3"/>
        <s v="Q4"/>
      </sharedItems>
    </cacheField>
    <cacheField name="Sales_Date_B2" numFmtId="0" databaseField="0">
      <fieldGroup base="18">
        <discretePr count="12"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1HGBH41JXMN109186"/>
    <x v="0"/>
    <x v="0"/>
    <x v="0"/>
    <x v="0"/>
    <x v="0"/>
    <x v="0"/>
    <s v="Under $25,000"/>
    <s v="John Smith"/>
    <s v="john.smith@email.com"/>
    <s v="Metro Honda"/>
    <x v="0"/>
    <x v="0"/>
    <s v="1.5L"/>
    <s v="Blue"/>
    <n v="15000"/>
    <n v="2021"/>
    <d v="2024-01-01T00:00:00"/>
    <x v="0"/>
    <x v="0"/>
  </r>
  <r>
    <s v="2T1BURHE0JC054321"/>
    <x v="1"/>
    <x v="1"/>
    <x v="0"/>
    <x v="0"/>
    <x v="0"/>
    <x v="0"/>
    <s v="Under $25,001"/>
    <s v="Sarah Johnson"/>
    <s v="sarah.j@gmail.com"/>
    <s v="Toyota Center"/>
    <x v="1"/>
    <x v="0"/>
    <s v="1.8L"/>
    <s v="White"/>
    <n v="8500"/>
    <n v="2021"/>
    <d v="2024-01-01T00:00:00"/>
    <x v="0"/>
    <x v="0"/>
  </r>
  <r>
    <s v="3N1AB7AP9HY123456"/>
    <x v="2"/>
    <x v="2"/>
    <x v="0"/>
    <x v="1"/>
    <x v="0"/>
    <x v="1"/>
    <s v="$25000-$39.9000"/>
    <s v="Mike Davis"/>
    <s v="m.davis@yahoo.com"/>
    <s v="Unknown Dealer"/>
    <x v="0"/>
    <x v="0"/>
    <s v="2.5L"/>
    <s v="Silver"/>
    <n v="22000"/>
    <n v="2020"/>
    <d v="2024-02-01T00:00:00"/>
    <x v="1"/>
    <x v="0"/>
  </r>
  <r>
    <s v="5NPE34AF5KH654321"/>
    <x v="3"/>
    <x v="3"/>
    <x v="0"/>
    <x v="0"/>
    <x v="0"/>
    <x v="2"/>
    <s v="Under $25,000"/>
    <s v="Lisa Chen"/>
    <s v="lisa.chen@outlook.com"/>
    <s v="Hyundai Plus"/>
    <x v="1"/>
    <x v="0"/>
    <s v="2.0L"/>
    <s v="Red"/>
    <n v="12000"/>
    <n v="2022"/>
    <d v="2024-02-01T00:00:00"/>
    <x v="1"/>
    <x v="0"/>
  </r>
  <r>
    <s v="KMHCT4AE9CU987654"/>
    <x v="3"/>
    <x v="4"/>
    <x v="1"/>
    <x v="2"/>
    <x v="0"/>
    <x v="3"/>
    <s v="$25000-$39.9000"/>
    <s v="Robert Wilson"/>
    <s v="rwilson@email.com"/>
    <s v="Hyundai Plus"/>
    <x v="1"/>
    <x v="0"/>
    <s v="2.4L"/>
    <s v="Black"/>
    <n v="28000"/>
    <n v="2019"/>
    <d v="2024-02-01T00:00:00"/>
    <x v="1"/>
    <x v="0"/>
  </r>
  <r>
    <s v="1C4RJFAG8KC321654"/>
    <x v="4"/>
    <x v="5"/>
    <x v="1"/>
    <x v="3"/>
    <x v="0"/>
    <x v="4"/>
    <s v="$25000-$39.9000"/>
    <s v="Amanda Taylor"/>
    <s v="a.taylor@gmail.com"/>
    <s v="Jeep Nation"/>
    <x v="2"/>
    <x v="0"/>
    <s v="3.6L"/>
    <s v="Gray"/>
    <n v="35000"/>
    <n v="2020"/>
    <d v="2024-02-01T00:00:00"/>
    <x v="1"/>
    <x v="0"/>
  </r>
  <r>
    <s v="1FTFW1ET5EKF12345"/>
    <x v="5"/>
    <x v="6"/>
    <x v="2"/>
    <x v="4"/>
    <x v="0"/>
    <x v="5"/>
    <s v="$40000-$59.9000"/>
    <s v="David Brown"/>
    <s v="david.brown@email.com"/>
    <s v="Ford Country"/>
    <x v="3"/>
    <x v="0"/>
    <s v="5.0L"/>
    <s v="Blue"/>
    <n v="18000"/>
    <n v="2021"/>
    <d v="2024-02-01T00:00:00"/>
    <x v="1"/>
    <x v="0"/>
  </r>
  <r>
    <s v="1G1ZT51806F123456"/>
    <x v="6"/>
    <x v="7"/>
    <x v="0"/>
    <x v="1"/>
    <x v="0"/>
    <x v="6"/>
    <s v="$25000-$39.9000"/>
    <s v="Unknown Customer"/>
    <s v="chevy.fan@gmail.com"/>
    <s v="Chevy World"/>
    <x v="3"/>
    <x v="0"/>
    <s v="1.5L"/>
    <s v="White"/>
    <n v="16000"/>
    <n v="2022"/>
    <d v="2024-02-01T00:00:00"/>
    <x v="1"/>
    <x v="0"/>
  </r>
  <r>
    <s v="WBA8E9G50HNU12345"/>
    <x v="7"/>
    <x v="8"/>
    <x v="1"/>
    <x v="3"/>
    <x v="1"/>
    <x v="7"/>
    <s v="$40000-$59.9000"/>
    <s v="Jennifer Garcia"/>
    <s v="j.garcia@email.com"/>
    <s v="Bmw Elite"/>
    <x v="0"/>
    <x v="0"/>
    <s v="2.0L"/>
    <s v="Black"/>
    <n v="24000"/>
    <n v="2021"/>
    <d v="2024-03-01T00:00:00"/>
    <x v="2"/>
    <x v="0"/>
  </r>
  <r>
    <s v="5YJSA1E26JF123456"/>
    <x v="8"/>
    <x v="9"/>
    <x v="0"/>
    <x v="1"/>
    <x v="1"/>
    <x v="8"/>
    <s v="$60000-$89.9000"/>
    <s v="Michael Rodriguez"/>
    <s v="mrodriguez@email.com"/>
    <s v="Tesla Direct"/>
    <x v="1"/>
    <x v="1"/>
    <s v="N/A"/>
    <s v="Red"/>
    <n v="8000"/>
    <n v="2023"/>
    <d v="2024-03-01T00:00:00"/>
    <x v="2"/>
    <x v="0"/>
  </r>
  <r>
    <s v="1HGCV1F36JA123456"/>
    <x v="0"/>
    <x v="10"/>
    <x v="0"/>
    <x v="1"/>
    <x v="0"/>
    <x v="9"/>
    <s v="$25000-$39.9000"/>
    <s v="Patricia Martinez"/>
    <s v="p.martinez@gmail.com"/>
    <s v="Metro Honda"/>
    <x v="0"/>
    <x v="0"/>
    <s v="1.5L"/>
    <s v="Silver"/>
    <n v="19000"/>
    <n v="2021"/>
    <d v="2024-03-01T00:00:00"/>
    <x v="2"/>
    <x v="0"/>
  </r>
  <r>
    <s v="2T1BURHE0JC054321"/>
    <x v="1"/>
    <x v="1"/>
    <x v="0"/>
    <x v="0"/>
    <x v="0"/>
    <x v="10"/>
    <s v="Under $25,000"/>
    <s v="Sarah Johnson"/>
    <s v="sarah.j@gmail.com"/>
    <s v="Toyota Center"/>
    <x v="1"/>
    <x v="0"/>
    <s v="1.8L"/>
    <s v="White"/>
    <n v="8500"/>
    <n v="2022"/>
    <d v="2024-03-01T00:00:00"/>
    <x v="2"/>
    <x v="0"/>
  </r>
  <r>
    <s v="4T1BF1FK8EU123456"/>
    <x v="1"/>
    <x v="11"/>
    <x v="0"/>
    <x v="1"/>
    <x v="0"/>
    <x v="11"/>
    <s v="$25000-$39.9000"/>
    <s v="James Anderson"/>
    <s v="james.anderson@email.com"/>
    <s v="Toyota Center"/>
    <x v="1"/>
    <x v="2"/>
    <s v="2.5L"/>
    <s v="Blue"/>
    <n v="14000"/>
    <n v="2022"/>
    <d v="2024-03-01T00:00:00"/>
    <x v="2"/>
    <x v="0"/>
  </r>
  <r>
    <s v="1N4AL3AP8JC123456"/>
    <x v="2"/>
    <x v="2"/>
    <x v="0"/>
    <x v="1"/>
    <x v="0"/>
    <x v="12"/>
    <s v="$25000-$39.9000"/>
    <s v="Mary Thomas"/>
    <s v="mthomas@email.com"/>
    <s v="Nissan Direct"/>
    <x v="2"/>
    <x v="0"/>
    <s v="2.5L"/>
    <s v="Unknown "/>
    <n v="26000"/>
    <n v="2020"/>
    <d v="2024-03-01T00:00:00"/>
    <x v="2"/>
    <x v="0"/>
  </r>
  <r>
    <s v="KM8J3CA46JU123456"/>
    <x v="3"/>
    <x v="12"/>
    <x v="1"/>
    <x v="2"/>
    <x v="0"/>
    <x v="13"/>
    <s v="$25000-$39.9000"/>
    <s v="Christopher Jackson"/>
    <s v="c.jackson@gmail.com"/>
    <s v="Hyundai Plus"/>
    <x v="1"/>
    <x v="0"/>
    <s v="2.4L"/>
    <s v="White"/>
    <n v="31000"/>
    <n v="2019"/>
    <d v="2024-03-01T00:00:00"/>
    <x v="2"/>
    <x v="0"/>
  </r>
  <r>
    <s v="1C4RJFBG3KC123456"/>
    <x v="4"/>
    <x v="5"/>
    <x v="1"/>
    <x v="3"/>
    <x v="0"/>
    <x v="14"/>
    <s v="$40000-$59.9000"/>
    <s v="Elizabeth White"/>
    <s v="e.white@email.com"/>
    <s v="Jeep Nation"/>
    <x v="2"/>
    <x v="0"/>
    <s v="3.6L"/>
    <s v="Black"/>
    <n v="29000"/>
    <n v="2020"/>
    <d v="2024-03-01T00:00:00"/>
    <x v="2"/>
    <x v="0"/>
  </r>
  <r>
    <s v="1FTEW1E50JKF12345"/>
    <x v="5"/>
    <x v="6"/>
    <x v="2"/>
    <x v="4"/>
    <x v="0"/>
    <x v="15"/>
    <s v="$40000-$59.9000"/>
    <s v="Daniel Harris"/>
    <s v="d.harris@email.com"/>
    <s v="Ford Country"/>
    <x v="3"/>
    <x v="0"/>
    <s v="5.0L"/>
    <s v="Red"/>
    <n v="21000"/>
    <n v="2021"/>
    <d v="2024-03-01T00:00:00"/>
    <x v="2"/>
    <x v="0"/>
  </r>
  <r>
    <s v="1G1ZB5ST8JF123456"/>
    <x v="6"/>
    <x v="13"/>
    <x v="0"/>
    <x v="0"/>
    <x v="0"/>
    <x v="16"/>
    <s v="Under $25,000"/>
    <s v="Susan Martin"/>
    <s v="s.martin@gmail.com"/>
    <s v="Chevy World"/>
    <x v="3"/>
    <x v="0"/>
    <s v="1.4L"/>
    <s v="Silver"/>
    <n v="17000"/>
    <n v="2022"/>
    <d v="2024-04-01T00:00:00"/>
    <x v="3"/>
    <x v="1"/>
  </r>
  <r>
    <s v="WBA8E9G59HNU12346"/>
    <x v="7"/>
    <x v="14"/>
    <x v="1"/>
    <x v="3"/>
    <x v="1"/>
    <x v="17"/>
    <s v="$40000-$59.9000"/>
    <s v="Joseph Thompson"/>
    <s v="j.thompson@email.com"/>
    <s v="Bmw Elite"/>
    <x v="0"/>
    <x v="0"/>
    <s v="3.0L"/>
    <s v="Gray"/>
    <n v="32000"/>
    <n v="2020"/>
    <d v="2024-04-01T00:00:00"/>
    <x v="3"/>
    <x v="1"/>
  </r>
  <r>
    <s v="5YJSA1E27JF123457"/>
    <x v="8"/>
    <x v="15"/>
    <x v="0"/>
    <x v="1"/>
    <x v="1"/>
    <x v="18"/>
    <s v="$40000-$59.9000"/>
    <s v="Nancy Garcia"/>
    <s v="n.garcia@email.com"/>
    <s v="Tesla Direct"/>
    <x v="1"/>
    <x v="1"/>
    <s v="N/A"/>
    <s v="White"/>
    <n v="12000"/>
    <n v="2023"/>
    <d v="2024-04-01T00:00:00"/>
    <x v="3"/>
    <x v="1"/>
  </r>
  <r>
    <s v="1HGCV1F37JA123457"/>
    <x v="0"/>
    <x v="10"/>
    <x v="0"/>
    <x v="1"/>
    <x v="0"/>
    <x v="19"/>
    <s v="$25000-$39.9000"/>
    <s v="Kenneth Lee"/>
    <s v="k.lee@gmail.com"/>
    <s v="Metro Honda"/>
    <x v="0"/>
    <x v="0"/>
    <s v="1.5L"/>
    <s v="Black"/>
    <n v="22000"/>
    <n v="2021"/>
    <d v="2024-04-01T00:00:00"/>
    <x v="3"/>
    <x v="1"/>
  </r>
  <r>
    <s v="4T1BF1FK9EU123457"/>
    <x v="1"/>
    <x v="16"/>
    <x v="0"/>
    <x v="1"/>
    <x v="0"/>
    <x v="3"/>
    <s v="$25000-$39.9000"/>
    <s v="Linda Wilson"/>
    <s v="l.wilson@email.com"/>
    <s v="Toyota Center"/>
    <x v="1"/>
    <x v="2"/>
    <s v="1.8L"/>
    <s v="Blue"/>
    <n v="9000"/>
    <n v="2023"/>
    <d v="2024-04-01T00:00:00"/>
    <x v="3"/>
    <x v="1"/>
  </r>
  <r>
    <s v="1N4AL3AP9JC123457"/>
    <x v="2"/>
    <x v="17"/>
    <x v="0"/>
    <x v="0"/>
    <x v="0"/>
    <x v="0"/>
    <s v="Under $25,000"/>
    <s v="Betty Moore"/>
    <s v="b.moore@email.com"/>
    <s v="Nissan Direct"/>
    <x v="2"/>
    <x v="0"/>
    <s v="1.6L"/>
    <s v="Red"/>
    <n v="18000"/>
    <n v="2023"/>
    <d v="2024-04-01T00:00:00"/>
    <x v="3"/>
    <x v="1"/>
  </r>
  <r>
    <s v="KM8J3CA47JU123457"/>
    <x v="3"/>
    <x v="4"/>
    <x v="1"/>
    <x v="2"/>
    <x v="0"/>
    <x v="20"/>
    <s v="$25000-$39.9000"/>
    <s v="Mark Taylor"/>
    <s v="m.taylor@gmail.com"/>
    <s v="Hyundai Plus"/>
    <x v="1"/>
    <x v="0"/>
    <s v="2.4L"/>
    <s v="Silver"/>
    <n v="27000"/>
    <n v="2020"/>
    <d v="2024-04-01T00:00:00"/>
    <x v="3"/>
    <x v="1"/>
  </r>
  <r>
    <s v="1C4RJFBG4KC123457"/>
    <x v="4"/>
    <x v="18"/>
    <x v="1"/>
    <x v="3"/>
    <x v="0"/>
    <x v="4"/>
    <s v="$25000-$39.9000"/>
    <s v="Dorothy Anderson"/>
    <s v="d.anderson@email.com"/>
    <s v="Jeep Nation"/>
    <x v="2"/>
    <x v="0"/>
    <s v="3.6L"/>
    <s v="Green"/>
    <n v="15000"/>
    <n v="2022"/>
    <d v="2024-04-01T00:00:00"/>
    <x v="3"/>
    <x v="1"/>
  </r>
  <r>
    <s v="1FTEW1E51JKF12346"/>
    <x v="5"/>
    <x v="19"/>
    <x v="1"/>
    <x v="3"/>
    <x v="0"/>
    <x v="21"/>
    <s v="$25000-$39.9000"/>
    <s v="Steven Thomas"/>
    <s v="s.thomas@email.com"/>
    <s v="Ford Country"/>
    <x v="3"/>
    <x v="0"/>
    <s v="2.3L"/>
    <s v="Blue"/>
    <n v="25000"/>
    <n v="2021"/>
    <d v="2024-04-01T00:00:00"/>
    <x v="3"/>
    <x v="1"/>
  </r>
  <r>
    <s v="1G1ZB5ST9JF123457"/>
    <x v="6"/>
    <x v="20"/>
    <x v="1"/>
    <x v="2"/>
    <x v="0"/>
    <x v="9"/>
    <s v="$25000-$39.9000"/>
    <s v="Helen Jackson"/>
    <s v="h.jackson@gmail.com"/>
    <s v="Chevy World"/>
    <x v="3"/>
    <x v="0"/>
    <s v="1.5L"/>
    <s v="White"/>
    <n v="20000"/>
    <n v="2022"/>
    <d v="2024-04-01T00:00:00"/>
    <x v="3"/>
    <x v="1"/>
  </r>
  <r>
    <s v="WBA8E9G60HNU12347"/>
    <x v="7"/>
    <x v="21"/>
    <x v="0"/>
    <x v="1"/>
    <x v="1"/>
    <x v="22"/>
    <s v="$40000-$59.9000"/>
    <s v="Edward White"/>
    <s v="e.white@email.com"/>
    <s v="Bmw Elite"/>
    <x v="0"/>
    <x v="0"/>
    <s v="2.0L"/>
    <s v="Black"/>
    <n v="28000"/>
    <n v="2020"/>
    <d v="2024-05-01T00:00:00"/>
    <x v="4"/>
    <x v="1"/>
  </r>
  <r>
    <s v="5YJSA1E28JF123458"/>
    <x v="8"/>
    <x v="22"/>
    <x v="1"/>
    <x v="3"/>
    <x v="1"/>
    <x v="23"/>
    <s v="$40000-$59.9000"/>
    <s v="Donna Harris"/>
    <s v="d.harris@email.com"/>
    <s v="Tesla Direct"/>
    <x v="1"/>
    <x v="1"/>
    <s v="N/A"/>
    <s v="Gray"/>
    <n v="6000"/>
    <n v="2024"/>
    <d v="2024-05-01T00:00:00"/>
    <x v="4"/>
    <x v="1"/>
  </r>
  <r>
    <s v="1HGCV1F38JA123458"/>
    <x v="0"/>
    <x v="23"/>
    <x v="1"/>
    <x v="2"/>
    <x v="0"/>
    <x v="24"/>
    <s v="$25000-$39.9000"/>
    <s v="Frank Martin"/>
    <s v="f.martin@gmail.com"/>
    <s v="Metro Honda"/>
    <x v="0"/>
    <x v="0"/>
    <s v="1.5L"/>
    <s v="Red"/>
    <n v="16000"/>
    <n v="2022"/>
    <d v="2024-05-01T00:00:00"/>
    <x v="4"/>
    <x v="1"/>
  </r>
  <r>
    <s v="4T1BF1FK0EU123458"/>
    <x v="1"/>
    <x v="24"/>
    <x v="1"/>
    <x v="2"/>
    <x v="0"/>
    <x v="13"/>
    <s v="$25000-$39.9000"/>
    <s v="Ruth Thompson"/>
    <s v="r.thompson@email.com"/>
    <s v="Toyota Center"/>
    <x v="1"/>
    <x v="0"/>
    <s v="2.5L"/>
    <s v="Silver"/>
    <n v="11000"/>
    <n v="2023"/>
    <d v="2024-05-01T00:00:00"/>
    <x v="4"/>
    <x v="1"/>
  </r>
  <r>
    <s v="1N4AL3AP0JC123458"/>
    <x v="2"/>
    <x v="25"/>
    <x v="1"/>
    <x v="2"/>
    <x v="0"/>
    <x v="19"/>
    <s v="$25000-$39.9000"/>
    <s v="Joe Garcia"/>
    <s v="j.garcia@email.com"/>
    <s v="Nissan Direct"/>
    <x v="2"/>
    <x v="0"/>
    <s v="2.5L"/>
    <s v="Blue"/>
    <n v="24000"/>
    <n v="2021"/>
    <d v="2024-05-01T00:00:00"/>
    <x v="4"/>
    <x v="1"/>
  </r>
  <r>
    <s v="KM8J3CA48JU123458"/>
    <x v="3"/>
    <x v="26"/>
    <x v="0"/>
    <x v="1"/>
    <x v="0"/>
    <x v="25"/>
    <s v="$25000-$39.9000"/>
    <s v="Frances Lee"/>
    <s v="f.lee@gmail.com"/>
    <s v="Hyundai Plus"/>
    <x v="1"/>
    <x v="0"/>
    <s v="2.5L"/>
    <s v="Black"/>
    <n v="19000"/>
    <n v="2022"/>
    <d v="2024-05-01T00:00:00"/>
    <x v="4"/>
    <x v="1"/>
  </r>
  <r>
    <s v="1C4RJFBG5KC123458"/>
    <x v="4"/>
    <x v="27"/>
    <x v="1"/>
    <x v="3"/>
    <x v="0"/>
    <x v="26"/>
    <s v="$25000-$39.9000"/>
    <s v="Raymond Wilson"/>
    <s v="r.wilson@email.com"/>
    <s v="Jeep Nation"/>
    <x v="2"/>
    <x v="0"/>
    <s v="2.4L"/>
    <s v="White"/>
    <n v="22000"/>
    <n v="2021"/>
    <d v="2024-05-01T00:00:00"/>
    <x v="4"/>
    <x v="1"/>
  </r>
  <r>
    <s v="1FTEW1E52JKF12347"/>
    <x v="5"/>
    <x v="28"/>
    <x v="1"/>
    <x v="2"/>
    <x v="0"/>
    <x v="27"/>
    <s v="$25000-$39.9000"/>
    <s v="Marie Moore"/>
    <s v="m.moore@email.com"/>
    <s v="Ford Country"/>
    <x v="3"/>
    <x v="0"/>
    <s v="1.5L"/>
    <s v="Gray"/>
    <n v="17000"/>
    <n v="2022"/>
    <d v="2024-05-01T00:00:00"/>
    <x v="4"/>
    <x v="1"/>
  </r>
  <r>
    <s v="1G1ZB5ST0JF123458"/>
    <x v="6"/>
    <x v="29"/>
    <x v="1"/>
    <x v="3"/>
    <x v="0"/>
    <x v="28"/>
    <s v="$25000-$39.9000"/>
    <s v="Albert Taylor"/>
    <s v="a.taylor@gmail.com"/>
    <s v="Chevy World"/>
    <x v="3"/>
    <x v="0"/>
    <s v="3.6L"/>
    <s v="Blue"/>
    <n v="26000"/>
    <n v="2020"/>
    <d v="2024-05-01T00:00:00"/>
    <x v="4"/>
    <x v="1"/>
  </r>
  <r>
    <s v="WBA8E9G61HNU12348"/>
    <x v="7"/>
    <x v="30"/>
    <x v="1"/>
    <x v="3"/>
    <x v="1"/>
    <x v="4"/>
    <s v="$25000-$39.9000"/>
    <s v="Gloria Anderson"/>
    <s v="g.anderson@email.com"/>
    <s v="Bmw Elite"/>
    <x v="0"/>
    <x v="0"/>
    <s v="2.0L"/>
    <s v="Silver"/>
    <n v="21000"/>
    <n v="2021"/>
    <d v="2024-05-01T00:00:00"/>
    <x v="4"/>
    <x v="1"/>
  </r>
  <r>
    <s v="5YJSA1E29JF123459"/>
    <x v="8"/>
    <x v="31"/>
    <x v="1"/>
    <x v="3"/>
    <x v="1"/>
    <x v="29"/>
    <s v="$90000-$129.9000"/>
    <s v="Willie Thomas"/>
    <s v="w.thomas@email.com"/>
    <s v="Tesla Direct"/>
    <x v="1"/>
    <x v="1"/>
    <s v="N/A"/>
    <s v="White"/>
    <n v="4000"/>
    <n v="2024"/>
    <d v="2024-05-01T00:00:00"/>
    <x v="4"/>
    <x v="1"/>
  </r>
  <r>
    <s v="1HGCV1F39JA123459"/>
    <x v="0"/>
    <x v="32"/>
    <x v="1"/>
    <x v="3"/>
    <x v="0"/>
    <x v="30"/>
    <s v="$40000-$59.9000"/>
    <s v="Jean Jackson"/>
    <s v="j.jackson@gmail.com"/>
    <s v="Metro Honda"/>
    <x v="0"/>
    <x v="0"/>
    <s v="3.5L"/>
    <s v="Black"/>
    <n v="23000"/>
    <n v="2021"/>
    <d v="2024-05-01T00:00:00"/>
    <x v="4"/>
    <x v="1"/>
  </r>
  <r>
    <s v="4T1BF1FK1EU123459"/>
    <x v="1"/>
    <x v="33"/>
    <x v="1"/>
    <x v="3"/>
    <x v="0"/>
    <x v="31"/>
    <s v="$40000-$59.9000"/>
    <s v="Ralph White"/>
    <s v="r.white@email.com"/>
    <s v="Toyota Center"/>
    <x v="1"/>
    <x v="0"/>
    <s v="3.5L"/>
    <s v="Gray"/>
    <n v="18000"/>
    <n v="2022"/>
    <d v="2024-06-01T00:00:00"/>
    <x v="5"/>
    <x v="1"/>
  </r>
  <r>
    <s v="1N4AL3AP1JC123459"/>
    <x v="2"/>
    <x v="34"/>
    <x v="1"/>
    <x v="3"/>
    <x v="0"/>
    <x v="32"/>
    <s v="$25000-$39.9000"/>
    <s v="Evelyn Harris"/>
    <s v="e.harris@email.com"/>
    <s v="Nissan Direct"/>
    <x v="2"/>
    <x v="0"/>
    <s v="3.5L"/>
    <s v="Red"/>
    <n v="25000"/>
    <n v="2020"/>
    <d v="2024-06-01T00:00:00"/>
    <x v="5"/>
    <x v="1"/>
  </r>
  <r>
    <s v="KM8J3CA49JU123459"/>
    <x v="3"/>
    <x v="35"/>
    <x v="0"/>
    <x v="1"/>
    <x v="0"/>
    <x v="33"/>
    <s v="$40000-$59.9000"/>
    <s v="Wayne Martin"/>
    <s v="w.martin@gmail.com"/>
    <s v="Hyundai Plus"/>
    <x v="1"/>
    <x v="0"/>
    <s v="3.3L"/>
    <s v="Blue"/>
    <n v="14000"/>
    <n v="2023"/>
    <d v="2024-06-01T00:00:00"/>
    <x v="5"/>
    <x v="1"/>
  </r>
  <r>
    <s v="1C4RJFBG6KC123459"/>
    <x v="4"/>
    <x v="36"/>
    <x v="1"/>
    <x v="3"/>
    <x v="0"/>
    <x v="34"/>
    <s v="$25000-$39.9000"/>
    <s v="Kathryn Thompson"/>
    <s v="k.thompson@email.com"/>
    <s v="Jeep Nation"/>
    <x v="2"/>
    <x v="0"/>
    <s v="2.4L"/>
    <s v="Silver"/>
    <n v="20000"/>
    <n v="2021"/>
    <d v="2024-06-01T00:00:00"/>
    <x v="5"/>
    <x v="1"/>
  </r>
  <r>
    <s v="1FTEW1E53JKF12348"/>
    <x v="5"/>
    <x v="37"/>
    <x v="3"/>
    <x v="5"/>
    <x v="0"/>
    <x v="35"/>
    <s v="$25000-$39.9000"/>
    <s v="Arthur Garcia"/>
    <s v="a.garcia@email.com"/>
    <s v="Ford Country"/>
    <x v="3"/>
    <x v="0"/>
    <s v="2.3L"/>
    <s v="Red"/>
    <n v="8000"/>
    <n v="2023"/>
    <d v="2024-06-01T00:00:00"/>
    <x v="5"/>
    <x v="1"/>
  </r>
  <r>
    <s v="1G1ZB5ST1JF123459"/>
    <x v="6"/>
    <x v="38"/>
    <x v="3"/>
    <x v="5"/>
    <x v="0"/>
    <x v="36"/>
    <s v="$25000-$39.9000"/>
    <s v="Arthur Garcia"/>
    <s v="a.garcia@email.com"/>
    <s v="Ford Country"/>
    <x v="3"/>
    <x v="0"/>
    <s v="2.3L"/>
    <s v="Red"/>
    <n v="8000"/>
    <n v="2023"/>
    <d v="2024-06-01T00:00:00"/>
    <x v="5"/>
    <x v="1"/>
  </r>
  <r>
    <s v="WBA8E9G62HNU12349"/>
    <x v="7"/>
    <x v="39"/>
    <x v="3"/>
    <x v="6"/>
    <x v="1"/>
    <x v="37"/>
    <s v="$40000-$59.9000"/>
    <s v="Harold Wilson"/>
    <s v="h.wilson@email.com"/>
    <s v="Bmw Elite"/>
    <x v="0"/>
    <x v="0"/>
    <s v="2.0L"/>
    <s v="Black"/>
    <n v="15000"/>
    <n v="2022"/>
    <d v="2024-06-01T00:00:00"/>
    <x v="5"/>
    <x v="1"/>
  </r>
  <r>
    <s v="1HGCV1F40JA123460"/>
    <x v="0"/>
    <x v="40"/>
    <x v="2"/>
    <x v="4"/>
    <x v="0"/>
    <x v="38"/>
    <s v="$25000-$39.9000"/>
    <s v="Virginia Moore"/>
    <s v="v.moore@email.com"/>
    <s v="Metro Honda"/>
    <x v="0"/>
    <x v="0"/>
    <s v="3.5L"/>
    <s v="White"/>
    <n v="19000"/>
    <n v="2021"/>
    <d v="2024-06-01T00:00:00"/>
    <x v="5"/>
    <x v="1"/>
  </r>
  <r>
    <s v="4T1BF1FK2EU123460"/>
    <x v="1"/>
    <x v="41"/>
    <x v="2"/>
    <x v="4"/>
    <x v="0"/>
    <x v="24"/>
    <s v="$25000-$39.9000"/>
    <s v="Roy Taylor"/>
    <s v="r.taylor@email.com"/>
    <s v="Toyota Center"/>
    <x v="1"/>
    <x v="0"/>
    <s v="2.7L"/>
    <s v="Gray"/>
    <n v="21000"/>
    <n v="2020"/>
    <d v="2024-06-01T00:00:00"/>
    <x v="5"/>
    <x v="1"/>
  </r>
  <r>
    <s v="1N4AL3AP2JC123460"/>
    <x v="2"/>
    <x v="42"/>
    <x v="2"/>
    <x v="4"/>
    <x v="0"/>
    <x v="39"/>
    <s v="$25000-$39.9000"/>
    <s v="Shirley Anderson"/>
    <s v="s.anderson@email.com"/>
    <s v="Nissan Direct"/>
    <x v="2"/>
    <x v="0"/>
    <s v="5.6L"/>
    <s v="Blue"/>
    <n v="24000"/>
    <n v="2020"/>
    <d v="2024-06-01T00:00:00"/>
    <x v="5"/>
    <x v="1"/>
  </r>
  <r>
    <s v="1FTEW1E54JKF12349"/>
    <x v="5"/>
    <x v="43"/>
    <x v="2"/>
    <x v="4"/>
    <x v="0"/>
    <x v="19"/>
    <s v="$25000-$39.9000"/>
    <s v="Louis Thomas"/>
    <s v="l.thomas@email.com"/>
    <s v="Ford Country"/>
    <x v="3"/>
    <x v="0"/>
    <s v="2.3L"/>
    <s v="Black"/>
    <n v="16000"/>
    <n v="2022"/>
    <d v="2024-06-01T00:00:00"/>
    <x v="5"/>
    <x v="1"/>
  </r>
  <r>
    <s v="1G1ZB5ST2JF123460"/>
    <x v="6"/>
    <x v="44"/>
    <x v="2"/>
    <x v="4"/>
    <x v="0"/>
    <x v="14"/>
    <s v="$40000-$59.9000"/>
    <s v="Ann Jackson"/>
    <s v="a.jackson@gmail.com"/>
    <s v="Chevy World"/>
    <x v="3"/>
    <x v="0"/>
    <s v="4.3L"/>
    <s v="Red"/>
    <n v="22000"/>
    <n v="2021"/>
    <d v="2024-06-01T00:00:00"/>
    <x v="5"/>
    <x v="1"/>
  </r>
  <r>
    <s v="5YJSA1E30JF123461"/>
    <x v="8"/>
    <x v="45"/>
    <x v="2"/>
    <x v="4"/>
    <x v="1"/>
    <x v="40"/>
    <s v="$60000-$89.9000"/>
    <s v="Eugene White"/>
    <s v="e.white2@email.com"/>
    <s v="Tesla Direct"/>
    <x v="1"/>
    <x v="1"/>
    <s v="N/A"/>
    <s v="Silver"/>
    <n v="1000"/>
    <n v="2024"/>
    <d v="2024-06-01T00:00:00"/>
    <x v="5"/>
    <x v="1"/>
  </r>
  <r>
    <s v="1HGCV1F41JA123461"/>
    <x v="0"/>
    <x v="46"/>
    <x v="0"/>
    <x v="1"/>
    <x v="0"/>
    <x v="41"/>
    <s v="$25000-$39.9000"/>
    <s v="Diane Harris"/>
    <s v="d.harris2@email.com"/>
    <s v="Metro Honda"/>
    <x v="0"/>
    <x v="2"/>
    <s v="1.5L"/>
    <s v="Blue"/>
    <n v="13000"/>
    <n v="2022"/>
    <d v="2024-07-01T00:00:00"/>
    <x v="6"/>
    <x v="2"/>
  </r>
  <r>
    <s v="4T1BF1FK3EU123461"/>
    <x v="1"/>
    <x v="47"/>
    <x v="0"/>
    <x v="1"/>
    <x v="0"/>
    <x v="28"/>
    <s v="$25000-$39.9000"/>
    <s v="Philip Martin"/>
    <s v="p.martin@email.com"/>
    <s v="Toyota Center"/>
    <x v="1"/>
    <x v="0"/>
    <s v="3.5L"/>
    <s v="Black"/>
    <n v="17000"/>
    <n v="2021"/>
    <d v="2024-07-01T00:00:00"/>
    <x v="6"/>
    <x v="2"/>
  </r>
  <r>
    <s v="1N4AL3AP3JC123461"/>
    <x v="2"/>
    <x v="48"/>
    <x v="0"/>
    <x v="1"/>
    <x v="0"/>
    <x v="21"/>
    <s v="$25000-$39.9000"/>
    <s v="Joyce Thompson"/>
    <s v="j.thompson2@email.com"/>
    <s v="Nissan Direct"/>
    <x v="2"/>
    <x v="0"/>
    <s v="3.5L"/>
    <s v="White"/>
    <n v="19000"/>
    <n v="2021"/>
    <d v="2024-07-01T00:00:00"/>
    <x v="6"/>
    <x v="2"/>
  </r>
  <r>
    <s v="KM8J3CA50JU123461"/>
    <x v="3"/>
    <x v="49"/>
    <x v="0"/>
    <x v="0"/>
    <x v="0"/>
    <x v="42"/>
    <s v="Under $25,000"/>
    <s v="Bobby Garcia"/>
    <s v="b.garcia@email.com"/>
    <s v="Hyundai Plus"/>
    <x v="1"/>
    <x v="0"/>
    <s v="1.6L"/>
    <s v="Red"/>
    <n v="14000"/>
    <n v="2022"/>
    <d v="2024-07-01T00:00:00"/>
    <x v="6"/>
    <x v="2"/>
  </r>
  <r>
    <s v="1C4RJFBG7KC123461"/>
    <x v="4"/>
    <x v="50"/>
    <x v="2"/>
    <x v="4"/>
    <x v="0"/>
    <x v="43"/>
    <s v="$40000-$59.9000"/>
    <s v="Gloria Lee"/>
    <s v="g.lee@gmail.com"/>
    <s v="Jeep Nation"/>
    <x v="2"/>
    <x v="0"/>
    <s v="3.6L"/>
    <s v="Orange"/>
    <n v="11000"/>
    <n v="2023"/>
    <d v="2024-07-01T00:00:00"/>
    <x v="6"/>
    <x v="2"/>
  </r>
  <r>
    <s v="WBA8E9G63HNU12350"/>
    <x v="7"/>
    <x v="51"/>
    <x v="0"/>
    <x v="1"/>
    <x v="1"/>
    <x v="44"/>
    <s v="$60000-$89.9000"/>
    <s v="Keith Wilson"/>
    <s v="k.wilson@email.com"/>
    <s v="Bmw Elite"/>
    <x v="0"/>
    <x v="0"/>
    <s v="3.0L"/>
    <s v="Gray"/>
    <n v="26000"/>
    <n v="2020"/>
    <d v="2024-07-01T00:00:00"/>
    <x v="6"/>
    <x v="2"/>
  </r>
  <r>
    <s v="5YJSA1E31JF123462"/>
    <x v="8"/>
    <x v="52"/>
    <x v="3"/>
    <x v="7"/>
    <x v="1"/>
    <x v="45"/>
    <s v="$90000-$129.9000"/>
    <s v="Jacqueline Moore"/>
    <s v="j.moore@email.com"/>
    <s v="Tesla Direct"/>
    <x v="1"/>
    <x v="1"/>
    <s v="N/A"/>
    <s v="Red"/>
    <n v="500"/>
    <n v="2024"/>
    <d v="2024-07-01T00:00:00"/>
    <x v="6"/>
    <x v="2"/>
  </r>
  <r>
    <s v="1HGCV1F42JA123462"/>
    <x v="0"/>
    <x v="53"/>
    <x v="1"/>
    <x v="3"/>
    <x v="0"/>
    <x v="46"/>
    <s v="$25000-$39.9000"/>
    <s v="Billy Taylor"/>
    <s v="b.taylor@email.com"/>
    <s v="Metro Honda"/>
    <x v="0"/>
    <x v="0"/>
    <s v="3.5L"/>
    <s v="Silver"/>
    <n v="20000"/>
    <n v="2021"/>
    <d v="2024-07-01T00:00:00"/>
    <x v="6"/>
    <x v="2"/>
  </r>
  <r>
    <s v="4T1BF1FK4EU123462"/>
    <x v="1"/>
    <x v="54"/>
    <x v="1"/>
    <x v="3"/>
    <x v="0"/>
    <x v="47"/>
    <s v="$40000-$59.9000"/>
    <s v="Martha Anderson"/>
    <s v="m.anderson@email.com"/>
    <s v="Toyota Center"/>
    <x v="1"/>
    <x v="0"/>
    <s v="5.7L"/>
    <s v="Black"/>
    <n v="28000"/>
    <n v="2019"/>
    <d v="2024-07-01T00:00:00"/>
    <x v="6"/>
    <x v="2"/>
  </r>
  <r>
    <s v="1N4AL3AP4JC123462"/>
    <x v="2"/>
    <x v="55"/>
    <x v="1"/>
    <x v="3"/>
    <x v="0"/>
    <x v="48"/>
    <s v="$40000-$59.9000"/>
    <s v="Terry Thomas"/>
    <s v="t.thomas@email.com"/>
    <s v="Nissan Direct"/>
    <x v="2"/>
    <x v="0"/>
    <s v="5.6L"/>
    <s v="Blue"/>
    <n v="30000"/>
    <n v="2020"/>
    <d v="2024-07-01T00:00:00"/>
    <x v="6"/>
    <x v="2"/>
  </r>
  <r>
    <s v="KM8J3CA51JU123462"/>
    <x v="3"/>
    <x v="56"/>
    <x v="1"/>
    <x v="3"/>
    <x v="0"/>
    <x v="49"/>
    <s v="$40000-$59.9000"/>
    <s v="Debra Jackson"/>
    <s v="d.jackson@gmail.com"/>
    <s v="Hyundai Plus"/>
    <x v="1"/>
    <x v="0"/>
    <s v="3.8L"/>
    <s v="White"/>
    <n v="16000"/>
    <n v="2022"/>
    <d v="2024-07-01T00:00:00"/>
    <x v="6"/>
    <x v="2"/>
  </r>
  <r>
    <s v="1FTEW1E55JKF12350"/>
    <x v="5"/>
    <x v="57"/>
    <x v="1"/>
    <x v="3"/>
    <x v="0"/>
    <x v="4"/>
    <s v="$25000-$39.9000"/>
    <s v="Gerald White"/>
    <s v="g.white@email.com"/>
    <s v="Ford Country"/>
    <x v="3"/>
    <x v="0"/>
    <s v="2.3L"/>
    <s v="Green"/>
    <n v="9000"/>
    <n v="2023"/>
    <d v="2024-07-01T00:00:00"/>
    <x v="6"/>
    <x v="2"/>
  </r>
  <r>
    <s v="1G1ZB5ST3JF123462"/>
    <x v="6"/>
    <x v="58"/>
    <x v="1"/>
    <x v="3"/>
    <x v="0"/>
    <x v="23"/>
    <s v="$40000-$59.9000"/>
    <s v="Sandra Harris"/>
    <s v="s.harris@email.com"/>
    <s v="Chevy World"/>
    <x v="3"/>
    <x v="0"/>
    <s v="5.3L"/>
    <s v="Gray"/>
    <n v="25000"/>
    <n v="2020"/>
    <d v="2024-07-01T00:00:00"/>
    <x v="6"/>
    <x v="2"/>
  </r>
  <r>
    <s v="WBA8E9G64HNU12351"/>
    <x v="7"/>
    <x v="59"/>
    <x v="3"/>
    <x v="6"/>
    <x v="1"/>
    <x v="29"/>
    <s v="$90000-$129.9000"/>
    <s v="Paul Martin"/>
    <s v="p.martin2@email.com"/>
    <s v="Bmw Elite"/>
    <x v="0"/>
    <x v="0"/>
    <s v="3.0L"/>
    <s v="Blue"/>
    <n v="18000"/>
    <n v="2022"/>
    <d v="2024-07-01T00:00:00"/>
    <x v="6"/>
    <x v="2"/>
  </r>
  <r>
    <s v="1HGCV1F43JA123463"/>
    <x v="0"/>
    <x v="60"/>
    <x v="4"/>
    <x v="8"/>
    <x v="0"/>
    <x v="13"/>
    <s v="$25000-$39.9000"/>
    <s v="Betty Thompson"/>
    <s v="b.thompson@email.com"/>
    <s v="Metro Honda"/>
    <x v="0"/>
    <x v="0"/>
    <s v="3.5L"/>
    <s v="Silver"/>
    <n v="22000"/>
    <n v="2021"/>
    <d v="2024-08-01T00:00:00"/>
    <x v="7"/>
    <x v="2"/>
  </r>
  <r>
    <s v="4T1BF1FK5EU123463"/>
    <x v="1"/>
    <x v="61"/>
    <x v="4"/>
    <x v="8"/>
    <x v="0"/>
    <x v="28"/>
    <s v="$25000-$39.9000"/>
    <s v="Kenneth Garcia"/>
    <s v="k.garcia@email.com"/>
    <s v="Toyota Center"/>
    <x v="1"/>
    <x v="2"/>
    <s v="2.5L"/>
    <s v="White"/>
    <n v="15000"/>
    <n v="2022"/>
    <d v="2024-08-01T00:00:00"/>
    <x v="7"/>
    <x v="2"/>
  </r>
  <r>
    <s v="1N4AL3AP5JC123463"/>
    <x v="2"/>
    <x v="62"/>
    <x v="4"/>
    <x v="8"/>
    <x v="0"/>
    <x v="50"/>
    <s v="$25000-$39.9000"/>
    <s v="Helen Lee"/>
    <s v="h.lee@gmail.com"/>
    <s v="Nissan Direct"/>
    <x v="2"/>
    <x v="0"/>
    <s v="3.5L"/>
    <s v="Black"/>
    <n v="24000"/>
    <n v="2020"/>
    <d v="2024-08-01T00:00:00"/>
    <x v="7"/>
    <x v="2"/>
  </r>
  <r>
    <s v="KM8J3CA52JU123463"/>
    <x v="3"/>
    <x v="63"/>
    <x v="4"/>
    <x v="8"/>
    <x v="0"/>
    <x v="9"/>
    <s v="$25000-$39.9000"/>
    <s v="Donald Wilson"/>
    <s v="d.wilson@email.com"/>
    <s v="Hyundai Plus"/>
    <x v="1"/>
    <x v="0"/>
    <s v="3.8L"/>
    <s v="Blue"/>
    <n v="27000"/>
    <n v="2019"/>
    <d v="2024-08-01T00:00:00"/>
    <x v="7"/>
    <x v="2"/>
  </r>
  <r>
    <s v="1FTEW1E56JKF12351"/>
    <x v="5"/>
    <x v="64"/>
    <x v="4"/>
    <x v="8"/>
    <x v="0"/>
    <x v="51"/>
    <s v="$25000-$39.9000"/>
    <s v="Donald Wilson"/>
    <s v="d.wilson@email.com"/>
    <s v="Hyundai Plus"/>
    <x v="1"/>
    <x v="0"/>
    <s v="3.8L"/>
    <s v="Blue"/>
    <n v="27000"/>
    <n v="2019"/>
    <d v="2024-08-01T00:00:00"/>
    <x v="7"/>
    <x v="2"/>
  </r>
  <r>
    <s v="1G1ZB5ST4JF123463"/>
    <x v="6"/>
    <x v="65"/>
    <x v="4"/>
    <x v="8"/>
    <x v="0"/>
    <x v="24"/>
    <s v="$25000-$39.9000"/>
    <s v="George Taylor"/>
    <s v="g.taylor@email.com"/>
    <s v="Chevy World"/>
    <x v="3"/>
    <x v="0"/>
    <s v="4.3L"/>
    <s v="Gray"/>
    <n v="21000"/>
    <n v="2021"/>
    <d v="2024-08-01T00:00:00"/>
    <x v="7"/>
    <x v="2"/>
  </r>
  <r>
    <s v="5YJSA1E32JF123464"/>
    <x v="8"/>
    <x v="66"/>
    <x v="2"/>
    <x v="4"/>
    <x v="1"/>
    <x v="52"/>
    <s v="Over $130000"/>
    <s v="Maria Anderson"/>
    <s v="m.anderson2@email.com"/>
    <s v="Tesla Direct"/>
    <x v="1"/>
    <x v="1"/>
    <s v="N/A"/>
    <s v="Silver"/>
    <n v="2000"/>
    <n v="2024"/>
    <d v="2024-08-01T00:00:00"/>
    <x v="7"/>
    <x v="2"/>
  </r>
  <r>
    <s v="1HGCV1F44JA123464"/>
    <x v="0"/>
    <x v="67"/>
    <x v="1"/>
    <x v="3"/>
    <x v="0"/>
    <x v="53"/>
    <s v="Under $25,000"/>
    <s v="Edward Thomas"/>
    <s v="e.thomas@email.com"/>
    <s v="Metro Honda"/>
    <x v="0"/>
    <x v="0"/>
    <s v="2.4L"/>
    <s v="Orange"/>
    <n v="35000"/>
    <n v="2018"/>
    <d v="2024-08-01T00:00:00"/>
    <x v="7"/>
    <x v="2"/>
  </r>
  <r>
    <s v="4T1BF1FK6EU123464"/>
    <x v="1"/>
    <x v="68"/>
    <x v="1"/>
    <x v="3"/>
    <x v="0"/>
    <x v="54"/>
    <s v="$25000-$39.9000"/>
    <s v="Michelle Jackson"/>
    <s v="m.jackson@gmail.com"/>
    <s v="Toyota Center"/>
    <x v="1"/>
    <x v="0"/>
    <s v="4.0L"/>
    <s v="Yellow"/>
    <n v="40000"/>
    <n v="2017"/>
    <d v="2024-08-01T00:00:00"/>
    <x v="7"/>
    <x v="2"/>
  </r>
  <r>
    <s v="1N4AL3AP6JC123464"/>
    <x v="2"/>
    <x v="69"/>
    <x v="1"/>
    <x v="3"/>
    <x v="0"/>
    <x v="41"/>
    <s v="$25000-$39.9000"/>
    <s v="Thomas White"/>
    <s v="t.white@email.com"/>
    <s v="Nissan Direct"/>
    <x v="2"/>
    <x v="0"/>
    <s v="4.0L"/>
    <s v="Red"/>
    <n v="38000"/>
    <n v="2018"/>
    <d v="2024-08-01T00:00:00"/>
    <x v="7"/>
    <x v="2"/>
  </r>
  <r>
    <s v="KM8J3CA53JU123464"/>
    <x v="3"/>
    <x v="70"/>
    <x v="1"/>
    <x v="3"/>
    <x v="0"/>
    <x v="55"/>
    <s v="Under $25,000"/>
    <s v="Angela Harris"/>
    <s v="a.harris@email.com"/>
    <s v="Hyundai Plus"/>
    <x v="1"/>
    <x v="0"/>
    <s v="3.8L"/>
    <s v="Black"/>
    <n v="42000"/>
    <n v="2017"/>
    <d v="2024-08-01T00:00:00"/>
    <x v="7"/>
    <x v="2"/>
  </r>
  <r>
    <s v="1C4RJFBG8KC123464"/>
    <x v="4"/>
    <x v="71"/>
    <x v="1"/>
    <x v="3"/>
    <x v="0"/>
    <x v="2"/>
    <s v="Under $25,000"/>
    <s v="Matthew Martin"/>
    <s v="m.martin@gmail.com"/>
    <s v="Jeep Nation"/>
    <x v="2"/>
    <x v="0"/>
    <s v="3.7L"/>
    <s v="Silver"/>
    <n v="45000"/>
    <n v="2016"/>
    <d v="2024-08-01T00:00:00"/>
    <x v="7"/>
    <x v="2"/>
  </r>
  <r>
    <s v="1FTEW1E57JKF12352"/>
    <x v="5"/>
    <x v="72"/>
    <x v="1"/>
    <x v="3"/>
    <x v="0"/>
    <x v="9"/>
    <s v="$25000-$39.9000"/>
    <s v="Laura Thompson"/>
    <s v="l.thompson@email.com"/>
    <s v="Ford Country"/>
    <x v="3"/>
    <x v="0"/>
    <s v="5.4L"/>
    <s v="Blue"/>
    <n v="48000"/>
    <n v="2016"/>
    <d v="2024-08-01T00:00:00"/>
    <x v="7"/>
    <x v="2"/>
  </r>
  <r>
    <s v="1G1ZB5ST5JF123464"/>
    <x v="6"/>
    <x v="73"/>
    <x v="1"/>
    <x v="3"/>
    <x v="0"/>
    <x v="56"/>
    <s v="$60000-$89.9000"/>
    <s v="Daniel Garcia"/>
    <s v="d.garcia@email.com"/>
    <s v="Chevy World"/>
    <x v="3"/>
    <x v="0"/>
    <s v="5.3L"/>
    <s v="White"/>
    <n v="23000"/>
    <n v="2021"/>
    <d v="2024-08-01T00:00:00"/>
    <x v="7"/>
    <x v="2"/>
  </r>
  <r>
    <s v="WBA8E9G65HNU12352"/>
    <x v="7"/>
    <x v="74"/>
    <x v="0"/>
    <x v="1"/>
    <x v="1"/>
    <x v="57"/>
    <s v="$25000-$39.9000"/>
    <s v="Rebecca Lee"/>
    <s v="r.lee@gmail.com"/>
    <s v="Bmw Elite"/>
    <x v="0"/>
    <x v="1"/>
    <s v="N/A"/>
    <s v="Gray"/>
    <n v="16000"/>
    <n v="2022"/>
    <d v="2024-08-01T00:00:00"/>
    <x v="7"/>
    <x v="2"/>
  </r>
  <r>
    <s v="1HGCV1F45JA123465"/>
    <x v="0"/>
    <x v="75"/>
    <x v="1"/>
    <x v="3"/>
    <x v="0"/>
    <x v="26"/>
    <s v="$25000-$39.9000"/>
    <s v="Ryan Wilson"/>
    <s v="r.wilson2@email.com"/>
    <s v="Metro Honda"/>
    <x v="0"/>
    <x v="0"/>
    <s v="3.5L"/>
    <s v="Black"/>
    <n v="29000"/>
    <n v="2019"/>
    <d v="2024-08-01T00:00:00"/>
    <x v="7"/>
    <x v="2"/>
  </r>
  <r>
    <s v="4T1BF1FK7EU123465"/>
    <x v="1"/>
    <x v="76"/>
    <x v="1"/>
    <x v="3"/>
    <x v="0"/>
    <x v="13"/>
    <s v="$25000-$39.9000"/>
    <s v="Amy Moore"/>
    <s v="a.moore@email.com"/>
    <s v="Toyota Center"/>
    <x v="1"/>
    <x v="0"/>
    <s v="2.7L"/>
    <s v="Silver"/>
    <n v="24000"/>
    <n v="2020"/>
    <d v="2024-09-01T00:00:00"/>
    <x v="8"/>
    <x v="2"/>
  </r>
  <r>
    <s v="1N4AL3AP7JC123465"/>
    <x v="2"/>
    <x v="77"/>
    <x v="1"/>
    <x v="3"/>
    <x v="0"/>
    <x v="58"/>
    <s v="$25000-$39.9000"/>
    <s v="Jason Taylor"/>
    <s v="j.taylor@email.com"/>
    <s v="Nissan Direct"/>
    <x v="2"/>
    <x v="0"/>
    <s v="3.5L"/>
    <s v="Red"/>
    <n v="26000"/>
    <n v="2020"/>
    <d v="2024-09-01T00:00:00"/>
    <x v="8"/>
    <x v="2"/>
  </r>
  <r>
    <s v="KM8J3CA54JU123465"/>
    <x v="3"/>
    <x v="78"/>
    <x v="1"/>
    <x v="3"/>
    <x v="0"/>
    <x v="19"/>
    <s v="$25000-$39.9000"/>
    <s v="Nicole Anderson"/>
    <s v="n.anderson@email.com"/>
    <s v="Hyundai Plus"/>
    <x v="1"/>
    <x v="0"/>
    <s v="2.4L"/>
    <s v="Blue"/>
    <n v="31000"/>
    <n v="2019"/>
    <d v="2024-09-01T00:00:00"/>
    <x v="8"/>
    <x v="2"/>
  </r>
  <r>
    <s v="1C4RJFBG9KC123465"/>
    <x v="4"/>
    <x v="79"/>
    <x v="1"/>
    <x v="3"/>
    <x v="0"/>
    <x v="59"/>
    <s v="Under $25,000"/>
    <s v="Brandon Thomas"/>
    <s v="b.thomas@email.com"/>
    <s v="Jeep Nation"/>
    <x v="2"/>
    <x v="0"/>
    <s v="2.4L"/>
    <s v="Green"/>
    <n v="34000"/>
    <n v="2018"/>
    <d v="2024-09-01T00:00:00"/>
    <x v="8"/>
    <x v="2"/>
  </r>
  <r>
    <s v="1FTEW1E58JKF12353"/>
    <x v="5"/>
    <x v="80"/>
    <x v="1"/>
    <x v="3"/>
    <x v="0"/>
    <x v="20"/>
    <s v="$25000-$39.9000"/>
    <s v="Stephanie Jackson"/>
    <s v="s.jackson@gmail.com"/>
    <s v="Ford Country"/>
    <x v="3"/>
    <x v="0"/>
    <s v="2.0L"/>
    <s v="Gray"/>
    <n v="27000"/>
    <n v="2020"/>
    <d v="2024-09-01T00:00:00"/>
    <x v="8"/>
    <x v="2"/>
  </r>
  <r>
    <s v="1G1ZB5ST6JF123465"/>
    <x v="6"/>
    <x v="81"/>
    <x v="1"/>
    <x v="3"/>
    <x v="0"/>
    <x v="60"/>
    <s v="$25000-$39.9000"/>
    <s v="Zachary White"/>
    <s v="z.white@email.com"/>
    <s v="Chevy World"/>
    <x v="3"/>
    <x v="0"/>
    <s v="2.5L"/>
    <s v="Black"/>
    <n v="25000"/>
    <n v="2020"/>
    <d v="2024-09-01T00:00:00"/>
    <x v="8"/>
    <x v="2"/>
  </r>
  <r>
    <s v="5YJSA1E33JF123466"/>
    <x v="8"/>
    <x v="82"/>
    <x v="0"/>
    <x v="1"/>
    <x v="1"/>
    <x v="61"/>
    <s v="$60000-$89.9000"/>
    <s v="Samantha Harris"/>
    <s v="s.harris2@email.com"/>
    <s v="Tesla Direct"/>
    <x v="1"/>
    <x v="1"/>
    <s v="N/A"/>
    <s v="White"/>
    <n v="3000"/>
    <n v="2024"/>
    <d v="2024-09-01T00:00:00"/>
    <x v="8"/>
    <x v="2"/>
  </r>
  <r>
    <s v="1HGCV1F46JA123466"/>
    <x v="0"/>
    <x v="83"/>
    <x v="0"/>
    <x v="0"/>
    <x v="0"/>
    <x v="62"/>
    <s v="Under $25,000"/>
    <s v="Gregory Martin"/>
    <s v="g.martin@email.com"/>
    <s v="Metro Honda"/>
    <x v="0"/>
    <x v="0"/>
    <s v="1.5L"/>
    <s v="Blue"/>
    <n v="21000"/>
    <n v="2021"/>
    <d v="2024-09-01T00:00:00"/>
    <x v="8"/>
    <x v="2"/>
  </r>
  <r>
    <s v="4T1BF1FK8EU123466"/>
    <x v="1"/>
    <x v="84"/>
    <x v="0"/>
    <x v="0"/>
    <x v="0"/>
    <x v="63"/>
    <s v="Under $25,000"/>
    <s v="Christina Thompson"/>
    <s v="c.thompson@email.com"/>
    <s v="Toyota Center"/>
    <x v="1"/>
    <x v="0"/>
    <s v="1.5L"/>
    <s v="Red"/>
    <n v="18000"/>
    <n v="2022"/>
    <d v="2024-09-01T00:00:00"/>
    <x v="8"/>
    <x v="2"/>
  </r>
  <r>
    <s v="1N4AL3AP8JC123466"/>
    <x v="2"/>
    <x v="85"/>
    <x v="0"/>
    <x v="0"/>
    <x v="0"/>
    <x v="64"/>
    <s v="Under $25,000"/>
    <s v="Patrick Garcia"/>
    <s v="p.garcia@email.com"/>
    <s v="Nissan Direct"/>
    <x v="2"/>
    <x v="0"/>
    <s v="1.6L"/>
    <s v="Silver"/>
    <n v="16000"/>
    <n v="2022"/>
    <d v="2024-09-01T00:00:00"/>
    <x v="8"/>
    <x v="2"/>
  </r>
  <r>
    <s v="KM8J3CA55JU123466"/>
    <x v="3"/>
    <x v="86"/>
    <x v="3"/>
    <x v="0"/>
    <x v="0"/>
    <x v="65"/>
    <s v="Under $25,000"/>
    <s v="Heather Lee"/>
    <s v="h.lee2@gmail.com"/>
    <s v="Hyundai Plus"/>
    <x v="1"/>
    <x v="0"/>
    <s v="1.6L"/>
    <s v="Yellow"/>
    <n v="14000"/>
    <n v="2022"/>
    <d v="2024-09-01T00:00:00"/>
    <x v="8"/>
    <x v="2"/>
  </r>
  <r>
    <s v="1C4RJFBG0KC123466"/>
    <x v="4"/>
    <x v="87"/>
    <x v="1"/>
    <x v="3"/>
    <x v="0"/>
    <x v="1"/>
    <s v="$25000-$39.9000"/>
    <s v="Jonathan Wilson"/>
    <s v="j.wilson@email.com"/>
    <s v="Jeep Nation"/>
    <x v="2"/>
    <x v="0"/>
    <s v="1.4L"/>
    <s v="Orange"/>
    <n v="17000"/>
    <n v="2022"/>
    <d v="2024-09-01T00:00:00"/>
    <x v="8"/>
    <x v="2"/>
  </r>
  <r>
    <s v="1FTEW1E59JKF12354"/>
    <x v="5"/>
    <x v="88"/>
    <x v="1"/>
    <x v="3"/>
    <x v="0"/>
    <x v="2"/>
    <s v="Under $25,000"/>
    <s v="Megan Moore"/>
    <s v="m.moore2@email.com"/>
    <s v="Ford Country"/>
    <x v="3"/>
    <x v="0"/>
    <s v="1.0L"/>
    <s v="White"/>
    <n v="19000"/>
    <n v="2021"/>
    <d v="2024-09-01T00:00:00"/>
    <x v="8"/>
    <x v="2"/>
  </r>
  <r>
    <s v="1G1ZB5ST7JF123466"/>
    <x v="6"/>
    <x v="89"/>
    <x v="0"/>
    <x v="0"/>
    <x v="0"/>
    <x v="66"/>
    <s v="Under $25,000"/>
    <s v="Andrew Taylor"/>
    <s v="a.taylor2@gmail.com"/>
    <s v="Chevy World"/>
    <x v="3"/>
    <x v="0"/>
    <s v="1.4L"/>
    <s v="Red"/>
    <n v="15000"/>
    <n v="2022"/>
    <d v="2024-09-01T00:00:00"/>
    <x v="8"/>
    <x v="2"/>
  </r>
  <r>
    <s v="WBA8E9G66HNU12353"/>
    <x v="7"/>
    <x v="90"/>
    <x v="3"/>
    <x v="9"/>
    <x v="1"/>
    <x v="67"/>
    <s v="Over $130000"/>
    <s v="Jennifer Anderson"/>
    <s v="j.anderson@email.com"/>
    <s v="Bmw Elite"/>
    <x v="0"/>
    <x v="2"/>
    <s v="1.5L"/>
    <s v="Blue"/>
    <n v="8000"/>
    <n v="2023"/>
    <d v="2024-09-01T00:00:00"/>
    <x v="8"/>
    <x v="2"/>
  </r>
  <r>
    <s v="1HGCV1F47JA123467"/>
    <x v="0"/>
    <x v="91"/>
    <x v="1"/>
    <x v="3"/>
    <x v="0"/>
    <x v="53"/>
    <s v="Under $25,000"/>
    <s v="Joshua Thomas"/>
    <s v="j.thomas@email.com"/>
    <s v="Metro Honda"/>
    <x v="0"/>
    <x v="0"/>
    <s v="1.8L"/>
    <s v="Gray"/>
    <n v="20000"/>
    <n v="2021"/>
    <d v="2024-10-01T00:00:00"/>
    <x v="9"/>
    <x v="3"/>
  </r>
  <r>
    <s v="4T1BF1FK9EU123467"/>
    <x v="1"/>
    <x v="92"/>
    <x v="1"/>
    <x v="3"/>
    <x v="0"/>
    <x v="25"/>
    <s v="$25000-$39.9000"/>
    <s v="Amanda Jackson"/>
    <s v="a.jackson2@gmail.com"/>
    <s v="Toyota Center"/>
    <x v="1"/>
    <x v="0"/>
    <s v="2.0L"/>
    <s v="Black"/>
    <n v="18000"/>
    <n v="2022"/>
    <d v="2024-10-01T00:00:00"/>
    <x v="9"/>
    <x v="3"/>
  </r>
  <r>
    <s v="1N4AL3AP9JC123467"/>
    <x v="2"/>
    <x v="93"/>
    <x v="1"/>
    <x v="3"/>
    <x v="0"/>
    <x v="68"/>
    <s v="Under $25,000"/>
    <s v="Justin White"/>
    <s v="j.white@email.com"/>
    <s v="Nissan Direct"/>
    <x v="2"/>
    <x v="0"/>
    <s v="1.6L"/>
    <s v="Orange"/>
    <n v="16000"/>
    <n v="2022"/>
    <d v="2024-10-01T00:00:00"/>
    <x v="9"/>
    <x v="3"/>
  </r>
  <r>
    <s v="KM8J3CA56JU123467"/>
    <x v="3"/>
    <x v="94"/>
    <x v="1"/>
    <x v="3"/>
    <x v="0"/>
    <x v="0"/>
    <s v="Under $25,000"/>
    <s v="Brittany Harris"/>
    <s v="b.harris@email.com"/>
    <s v="Hyundai Plus"/>
    <x v="1"/>
    <x v="0"/>
    <s v="2.0L"/>
    <s v="Blue"/>
    <n v="15000"/>
    <n v="2022"/>
    <d v="2024-10-01T00:00:00"/>
    <x v="9"/>
    <x v="3"/>
  </r>
  <r>
    <s v="1C4RJFBG1KC123467"/>
    <x v="4"/>
    <x v="95"/>
    <x v="1"/>
    <x v="3"/>
    <x v="0"/>
    <x v="26"/>
    <s v="$25000-$39.9000"/>
    <s v="Tyler Martin"/>
    <s v="t.martin@gmail.com"/>
    <s v="Jeep Nation"/>
    <x v="2"/>
    <x v="0"/>
    <s v="1.3L"/>
    <s v="Silver"/>
    <n v="13000"/>
    <n v="2023"/>
    <d v="2024-10-01T00:00:00"/>
    <x v="9"/>
    <x v="3"/>
  </r>
  <r>
    <s v="1FTEW1E60JKF12355"/>
    <x v="5"/>
    <x v="96"/>
    <x v="1"/>
    <x v="3"/>
    <x v="0"/>
    <x v="65"/>
    <s v="Under $25,000"/>
    <s v="Danielle Thompson"/>
    <s v="d.thompson@email.com"/>
    <s v="Ford Country"/>
    <x v="3"/>
    <x v="0"/>
    <s v="1.0L"/>
    <s v="Green"/>
    <n v="14000"/>
    <n v="2022"/>
    <d v="2024-10-01T00:00:00"/>
    <x v="9"/>
    <x v="3"/>
  </r>
  <r>
    <s v="1G1ZB5ST8JF123467"/>
    <x v="6"/>
    <x v="97"/>
    <x v="1"/>
    <x v="3"/>
    <x v="0"/>
    <x v="69"/>
    <s v="$25000-$39.9000"/>
    <s v="Kyle Garcia"/>
    <s v="k.garcia@email.com"/>
    <s v="Chevy World"/>
    <x v="3"/>
    <x v="0"/>
    <s v="1.3L"/>
    <s v="White"/>
    <n v="17000"/>
    <n v="2022"/>
    <d v="2024-10-01T00:00:00"/>
    <x v="9"/>
    <x v="3"/>
  </r>
  <r>
    <s v="5YJSA1E34JF123468"/>
    <x v="8"/>
    <x v="98"/>
    <x v="0"/>
    <x v="1"/>
    <x v="1"/>
    <x v="70"/>
    <s v="$60000-$89.9000"/>
    <s v="Rachel Lee"/>
    <s v="r.lee2@gmail.com"/>
    <s v="Tesla Direct"/>
    <x v="1"/>
    <x v="1"/>
    <s v="N/A"/>
    <s v="Silver"/>
    <n v="2500"/>
    <n v="2024"/>
    <d v="2024-10-01T00:00:00"/>
    <x v="9"/>
    <x v="3"/>
  </r>
  <r>
    <s v="1HGCV1F48JA123468"/>
    <x v="0"/>
    <x v="99"/>
    <x v="0"/>
    <x v="1"/>
    <x v="0"/>
    <x v="24"/>
    <s v="$25000-$39.9000"/>
    <s v="Sean Wilson"/>
    <s v="s.wilson@email.com"/>
    <s v="Metro Honda"/>
    <x v="0"/>
    <x v="2"/>
    <s v="1.5L"/>
    <s v="White"/>
    <n v="11000"/>
    <n v="2023"/>
    <d v="2024-10-01T00:00:00"/>
    <x v="9"/>
    <x v="3"/>
  </r>
  <r>
    <s v="4T1BF1FK0EU123468"/>
    <x v="1"/>
    <x v="100"/>
    <x v="0"/>
    <x v="1"/>
    <x v="0"/>
    <x v="71"/>
    <s v="$40000-$59.9000"/>
    <s v="Courtney Moore"/>
    <s v="c.moore@email.com"/>
    <s v="Toyota Center"/>
    <x v="1"/>
    <x v="3"/>
    <s v="N/A"/>
    <s v="Blue"/>
    <n v="5000"/>
    <n v="2024"/>
    <d v="2024-10-01T00:00:00"/>
    <x v="9"/>
    <x v="3"/>
  </r>
  <r>
    <s v="1N4AL3AP0JC123468"/>
    <x v="2"/>
    <x v="101"/>
    <x v="0"/>
    <x v="1"/>
    <x v="0"/>
    <x v="72"/>
    <s v="$25000-$39.9000"/>
    <s v="Cody Taylor"/>
    <s v="c.taylor@email.com"/>
    <s v="Nissan Direct"/>
    <x v="2"/>
    <x v="1"/>
    <s v="N/A"/>
    <s v="Green"/>
    <n v="9000"/>
    <n v="2023"/>
    <d v="2024-10-01T00:00:00"/>
    <x v="9"/>
    <x v="3"/>
  </r>
  <r>
    <s v="KM8J3CA57JU123468"/>
    <x v="3"/>
    <x v="102"/>
    <x v="0"/>
    <x v="1"/>
    <x v="0"/>
    <x v="19"/>
    <s v="$25000-$39.9000"/>
    <s v="Alexis Anderson"/>
    <s v="a.anderson2@email.com"/>
    <s v="Hyundai Plus"/>
    <x v="1"/>
    <x v="1"/>
    <s v="N/A"/>
    <s v="Gray"/>
    <n v="7000"/>
    <n v="2023"/>
    <d v="2024-10-01T00:00:00"/>
    <x v="9"/>
    <x v="3"/>
  </r>
  <r>
    <s v="1C4RJFBG2KC123468"/>
    <x v="4"/>
    <x v="103"/>
    <x v="1"/>
    <x v="3"/>
    <x v="0"/>
    <x v="7"/>
    <s v="$40000-$59.9000"/>
    <s v="Devin Thomas"/>
    <s v="d.thomas2@email.com"/>
    <s v="Jeep Nation"/>
    <x v="2"/>
    <x v="2"/>
    <s v="2.0L"/>
    <s v="Black"/>
    <n v="6000"/>
    <n v="2024"/>
    <d v="2024-10-01T00:00:00"/>
    <x v="9"/>
    <x v="3"/>
  </r>
  <r>
    <s v="1FTEW1E61JKF12356"/>
    <x v="5"/>
    <x v="104"/>
    <x v="2"/>
    <x v="4"/>
    <x v="0"/>
    <x v="73"/>
    <s v="$40000-$59.9000"/>
    <s v="Kayla Jackson"/>
    <s v="k.jackson@gmail.com"/>
    <s v="Ford Country"/>
    <x v="3"/>
    <x v="1"/>
    <s v="N/A"/>
    <s v="Blue"/>
    <n v="4000"/>
    <n v="2024"/>
    <d v="2024-10-01T00:00:00"/>
    <x v="9"/>
    <x v="3"/>
  </r>
  <r>
    <s v="1G1ZB5ST9JF123468"/>
    <x v="6"/>
    <x v="105"/>
    <x v="0"/>
    <x v="1"/>
    <x v="0"/>
    <x v="41"/>
    <s v="$25000-$39.9000"/>
    <s v="Marcus White"/>
    <s v="m.white@email.com"/>
    <s v="Chevy World"/>
    <x v="3"/>
    <x v="1"/>
    <s v="N/A"/>
    <s v="Red"/>
    <n v="8000"/>
    <n v="2023"/>
    <d v="2024-10-01T00:00:00"/>
    <x v="9"/>
    <x v="3"/>
  </r>
  <r>
    <s v="WBA8E9G67HNU12354"/>
    <x v="7"/>
    <x v="106"/>
    <x v="1"/>
    <x v="3"/>
    <x v="1"/>
    <x v="74"/>
    <s v="$60000-$89.9000"/>
    <s v="Alicia Harris"/>
    <s v="a.harris2@email.com"/>
    <s v="Bmw Elite"/>
    <x v="0"/>
    <x v="1"/>
    <s v="N/A"/>
    <s v="White"/>
    <n v="5000"/>
    <n v="2024"/>
    <d v="2024-11-01T00:00:00"/>
    <x v="10"/>
    <x v="3"/>
  </r>
  <r>
    <s v="1HGCV1F49JA123469"/>
    <x v="0"/>
    <x v="107"/>
    <x v="1"/>
    <x v="3"/>
    <x v="0"/>
    <x v="75"/>
    <s v="$40000-$59.9000"/>
    <s v="Trevor Martin"/>
    <s v="t.martin2@gmail.com"/>
    <s v="Metro Honda"/>
    <x v="0"/>
    <x v="1"/>
    <s v="N/A"/>
    <s v="Silver"/>
    <n v="3000"/>
    <n v="2024"/>
    <d v="2024-11-01T00:00:00"/>
    <x v="10"/>
    <x v="3"/>
  </r>
  <r>
    <s v="4T1BF1FK1EU123469"/>
    <x v="1"/>
    <x v="108"/>
    <x v="1"/>
    <x v="3"/>
    <x v="0"/>
    <x v="30"/>
    <s v="$40000-$59.9000"/>
    <s v="Jenna Thompson"/>
    <s v="j.thompson3@email.com"/>
    <s v="Toyota Center"/>
    <x v="1"/>
    <x v="1"/>
    <s v="N/A"/>
    <s v="Blue"/>
    <n v="4500"/>
    <n v="2024"/>
    <d v="2024-11-01T00:00:00"/>
    <x v="10"/>
    <x v="3"/>
  </r>
  <r>
    <s v="1N4AL3AP1JC123469"/>
    <x v="2"/>
    <x v="109"/>
    <x v="1"/>
    <x v="3"/>
    <x v="0"/>
    <x v="76"/>
    <s v="$40000-$59.9000"/>
    <s v="Cameron Garcia"/>
    <s v="c.garcia2@email.com"/>
    <s v="Nissan Direct"/>
    <x v="2"/>
    <x v="1"/>
    <s v="N/A"/>
    <s v="Black"/>
    <n v="3500"/>
    <n v="2024"/>
    <d v="2024-11-01T00:00:00"/>
    <x v="10"/>
    <x v="3"/>
  </r>
  <r>
    <s v="KM8J3CA58JU123469"/>
    <x v="3"/>
    <x v="110"/>
    <x v="1"/>
    <x v="3"/>
    <x v="0"/>
    <x v="15"/>
    <s v="$40000-$59.9000"/>
    <s v="Morgan Lee"/>
    <s v="m.lee@gmail.com"/>
    <s v="Hyundai Plus"/>
    <x v="1"/>
    <x v="1"/>
    <s v="N/A"/>
    <s v="White"/>
    <n v="5500"/>
    <n v="2023"/>
    <d v="2024-11-01T00:00:00"/>
    <x v="10"/>
    <x v="3"/>
  </r>
  <r>
    <s v="1C4RJFBG3KC123469"/>
    <x v="4"/>
    <x v="111"/>
    <x v="1"/>
    <x v="3"/>
    <x v="0"/>
    <x v="77"/>
    <s v="$40000-$59.9000"/>
    <s v="Blake Wilson"/>
    <s v="b.wilson@email.com"/>
    <s v="Jeep Nation"/>
    <x v="2"/>
    <x v="0"/>
    <s v="3.6L"/>
    <s v="Gray"/>
    <n v="12000"/>
    <n v="2023"/>
    <d v="2024-11-01T00:00:00"/>
    <x v="10"/>
    <x v="3"/>
  </r>
  <r>
    <s v="1FTEW1E62JKF12357"/>
    <x v="5"/>
    <x v="112"/>
    <x v="2"/>
    <x v="4"/>
    <x v="0"/>
    <x v="53"/>
    <s v="Under $25,000"/>
    <s v="Sydney Moore"/>
    <s v="s.moore@email.com"/>
    <s v="Ford Country"/>
    <x v="3"/>
    <x v="0"/>
    <s v="2.0L"/>
    <s v="Orange"/>
    <n v="11000"/>
    <n v="2023"/>
    <d v="2024-11-01T00:00:00"/>
    <x v="10"/>
    <x v="3"/>
  </r>
  <r>
    <s v="1G1ZB5ST0JF123469"/>
    <x v="6"/>
    <x v="113"/>
    <x v="3"/>
    <x v="5"/>
    <x v="0"/>
    <x v="78"/>
    <s v="$60000-$89.9000"/>
    <s v="Garrett Taylor"/>
    <s v="g.taylor2@gmail.com"/>
    <s v="Chevy World"/>
    <x v="3"/>
    <x v="0"/>
    <s v="6.2L"/>
    <s v="Red"/>
    <n v="7000"/>
    <n v="2023"/>
    <d v="2024-11-01T00:00:00"/>
    <x v="10"/>
    <x v="3"/>
  </r>
  <r>
    <s v="5YJSA1E35JF123470"/>
    <x v="8"/>
    <x v="114"/>
    <x v="0"/>
    <x v="1"/>
    <x v="1"/>
    <x v="45"/>
    <s v="$90000-$129.9000"/>
    <s v="Paige Anderson"/>
    <s v="p.anderson@email.com"/>
    <s v="Tesla Direct"/>
    <x v="1"/>
    <x v="1"/>
    <s v="N/A"/>
    <s v="Black"/>
    <n v="1500"/>
    <n v="2024"/>
    <d v="2024-11-01T00:00:00"/>
    <x v="10"/>
    <x v="3"/>
  </r>
  <r>
    <s v="1HGCV1F50JA123470"/>
    <x v="0"/>
    <x v="115"/>
    <x v="3"/>
    <x v="5"/>
    <x v="0"/>
    <x v="50"/>
    <s v="$25000-$39.9000"/>
    <s v="Jared Thomas"/>
    <s v="j.thomas2@email.com"/>
    <s v="Metro Honda"/>
    <x v="0"/>
    <x v="0"/>
    <s v="2.0L"/>
    <s v="Blue"/>
    <n v="8000"/>
    <n v="2023"/>
    <d v="2024-11-01T00:00:00"/>
    <x v="10"/>
    <x v="3"/>
  </r>
  <r>
    <s v="4T1BF1FK2EU123470"/>
    <x v="1"/>
    <x v="116"/>
    <x v="3"/>
    <x v="5"/>
    <x v="0"/>
    <x v="54"/>
    <s v="$25000-$39.9000"/>
    <s v="Sierra Jackson"/>
    <s v="s.jackson2@gmail.com"/>
    <s v="Toyota Center"/>
    <x v="1"/>
    <x v="0"/>
    <s v="2.4L"/>
    <s v="Yellow"/>
    <n v="6000"/>
    <n v="2023"/>
    <d v="2024-11-01T00:00:00"/>
    <x v="10"/>
    <x v="3"/>
  </r>
  <r>
    <s v="1N4AL3AP2JC123470"/>
    <x v="2"/>
    <x v="117"/>
    <x v="3"/>
    <x v="5"/>
    <x v="0"/>
    <x v="79"/>
    <s v="$40000-$59.9000"/>
    <s v="Parker White"/>
    <s v="p.white@email.com"/>
    <s v="Nissan Direct"/>
    <x v="2"/>
    <x v="0"/>
    <s v="3.0L"/>
    <s v="Silver"/>
    <n v="4000"/>
    <n v="2024"/>
    <d v="2024-11-01T00:00:00"/>
    <x v="10"/>
    <x v="3"/>
  </r>
  <r>
    <s v="KM8J3CA59JU123470"/>
    <x v="3"/>
    <x v="118"/>
    <x v="0"/>
    <x v="1"/>
    <x v="0"/>
    <x v="32"/>
    <s v="$25000-$39.9000"/>
    <s v="Savannah Harris"/>
    <s v="s.harris3@email.com"/>
    <s v="Hyundai Plus"/>
    <x v="1"/>
    <x v="0"/>
    <s v="2.0L"/>
    <s v="Red"/>
    <n v="5000"/>
    <n v="2024"/>
    <d v="2024-11-01T00:00:00"/>
    <x v="10"/>
    <x v="3"/>
  </r>
  <r>
    <s v="1C4RJFBG4KC123470"/>
    <x v="4"/>
    <x v="119"/>
    <x v="1"/>
    <x v="3"/>
    <x v="0"/>
    <x v="80"/>
    <s v="$60000-$89.9000"/>
    <s v="Hunter Martin"/>
    <s v="h.martin@gmail.com"/>
    <s v="Jeep Nation"/>
    <x v="2"/>
    <x v="0"/>
    <s v="5.7L"/>
    <s v="Black"/>
    <n v="8000"/>
    <n v="2023"/>
    <d v="2024-11-01T00:00:00"/>
    <x v="10"/>
    <x v="3"/>
  </r>
  <r>
    <s v="1FTEW1E63JKF12358"/>
    <x v="5"/>
    <x v="120"/>
    <x v="1"/>
    <x v="3"/>
    <x v="0"/>
    <x v="19"/>
    <s v="$25000-$39.9000"/>
    <s v="Destiny Thompson"/>
    <s v="d.thompson2@email.com"/>
    <s v="Ford Country"/>
    <x v="3"/>
    <x v="0"/>
    <s v="1.5L"/>
    <s v="Green"/>
    <n v="9000"/>
    <n v="2023"/>
    <d v="2024-11-01T00:00:00"/>
    <x v="10"/>
    <x v="3"/>
  </r>
  <r>
    <s v="1G1ZB5ST1JF123470"/>
    <x v="6"/>
    <x v="121"/>
    <x v="3"/>
    <x v="5"/>
    <x v="0"/>
    <x v="81"/>
    <s v="$90000-$129.9000"/>
    <s v="Colton Garcia"/>
    <s v="c.garcia3@email.com"/>
    <s v="Chevy World"/>
    <x v="3"/>
    <x v="0"/>
    <s v="5.5L"/>
    <s v="Orange"/>
    <n v="2000"/>
    <n v="2024"/>
    <d v="2024-12-01T00:00:00"/>
    <x v="11"/>
    <x v="3"/>
  </r>
  <r>
    <s v="WBA8E9G68HNU12355"/>
    <x v="7"/>
    <x v="122"/>
    <x v="0"/>
    <x v="1"/>
    <x v="1"/>
    <x v="82"/>
    <s v="$60000-$89.9000"/>
    <s v="Autumn Lee"/>
    <s v="a.lee@gmail.com"/>
    <s v="Bmw Elite"/>
    <x v="0"/>
    <x v="0"/>
    <s v="3.0L"/>
    <s v="White"/>
    <n v="6000"/>
    <n v="2023"/>
    <d v="2024-12-01T00:00:00"/>
    <x v="11"/>
    <x v="3"/>
  </r>
  <r>
    <s v="1HGCV1F51JA123471"/>
    <x v="0"/>
    <x v="123"/>
    <x v="0"/>
    <x v="1"/>
    <x v="0"/>
    <x v="22"/>
    <s v="$40000-$59.9000"/>
    <s v="Dalton Wilson"/>
    <s v="d.wilson2@email.com"/>
    <s v="Metro Honda"/>
    <x v="0"/>
    <x v="0"/>
    <s v="2.0L"/>
    <s v="Red"/>
    <n v="4000"/>
    <n v="2024"/>
    <d v="2024-12-01T00:00:00"/>
    <x v="11"/>
    <x v="3"/>
  </r>
  <r>
    <s v="4T1BF1FK3EU123471"/>
    <x v="1"/>
    <x v="124"/>
    <x v="3"/>
    <x v="10"/>
    <x v="0"/>
    <x v="83"/>
    <s v="$40000-$59.9000"/>
    <s v="Brooke Moore"/>
    <s v="b.moore@email.com"/>
    <s v="Toyota Center"/>
    <x v="1"/>
    <x v="0"/>
    <s v="3.0L"/>
    <s v="Blue"/>
    <n v="3000"/>
    <n v="2024"/>
    <d v="2024-12-01T00:00:00"/>
    <x v="11"/>
    <x v="3"/>
  </r>
  <r>
    <s v="1N4AL3AP3JC123471"/>
    <x v="2"/>
    <x v="125"/>
    <x v="3"/>
    <x v="10"/>
    <x v="0"/>
    <x v="84"/>
    <s v="$90000-$129.9000"/>
    <s v="Easton Taylor"/>
    <s v="e.taylor@gmail.com"/>
    <s v="Nissan Direct"/>
    <x v="2"/>
    <x v="0"/>
    <s v="3.8L"/>
    <s v="Black"/>
    <n v="2500"/>
    <n v="2024"/>
    <d v="2024-12-01T00:00:00"/>
    <x v="11"/>
    <x v="3"/>
  </r>
  <r>
    <s v="KM8J3CA60JU123471"/>
    <x v="3"/>
    <x v="126"/>
    <x v="0"/>
    <x v="1"/>
    <x v="0"/>
    <x v="61"/>
    <s v="$60000-$89.9000"/>
    <s v="Peyton Anderson"/>
    <s v="p.anderson2@email.com"/>
    <s v="Hyundai Plus"/>
    <x v="1"/>
    <x v="0"/>
    <s v="3.3L"/>
    <s v="Silver"/>
    <n v="3500"/>
    <n v="2024"/>
    <d v="2024-12-01T00:00:00"/>
    <x v="11"/>
    <x v="3"/>
  </r>
  <r>
    <s v="1C4RJFBG5KC123471"/>
    <x v="4"/>
    <x v="127"/>
    <x v="1"/>
    <x v="3"/>
    <x v="0"/>
    <x v="44"/>
    <s v="$60000-$89.9000"/>
    <s v="Bryce Thomas"/>
    <s v="b.thomas2@email.com"/>
    <s v="Jeep Nation"/>
    <x v="2"/>
    <x v="0"/>
    <s v="6.4L"/>
    <s v="Gray"/>
    <n v="5000"/>
    <n v="2024"/>
    <d v="2024-12-01T00:00:00"/>
    <x v="11"/>
    <x v="3"/>
  </r>
  <r>
    <s v="1FTEW1E64JKF12359"/>
    <x v="5"/>
    <x v="128"/>
    <x v="3"/>
    <x v="10"/>
    <x v="0"/>
    <x v="40"/>
    <s v="$60000-$89.9000"/>
    <s v="Madison Jackson"/>
    <s v="m.jackson2@gmail.com"/>
    <s v="Ford Country"/>
    <x v="3"/>
    <x v="0"/>
    <s v="5.2L"/>
    <s v="Red"/>
    <n v="1000"/>
    <n v="2024"/>
    <d v="2024-12-01T00:00:00"/>
    <x v="11"/>
    <x v="3"/>
  </r>
  <r>
    <s v="1G1ZB5ST2JF123471"/>
    <x v="6"/>
    <x v="129"/>
    <x v="3"/>
    <x v="10"/>
    <x v="0"/>
    <x v="56"/>
    <s v="$60000-$89.9000"/>
    <s v="Hayden White"/>
    <s v="h.white@email.com"/>
    <s v="Chevy World"/>
    <x v="3"/>
    <x v="0"/>
    <s v="6.2L"/>
    <s v="Yellow"/>
    <n v="1500"/>
    <n v="2024"/>
    <d v="2024-12-01T00:00:00"/>
    <x v="11"/>
    <x v="3"/>
  </r>
  <r>
    <s v="5YJSA1E36JF123472"/>
    <x v="8"/>
    <x v="130"/>
    <x v="3"/>
    <x v="7"/>
    <x v="1"/>
    <x v="85"/>
    <s v="Over $130000"/>
    <s v="Riley Harris"/>
    <s v="r.harris@email.com"/>
    <s v="Tesla Direct"/>
    <x v="1"/>
    <x v="1"/>
    <s v="N/A"/>
    <s v="Red"/>
    <n v="500"/>
    <n v="2024"/>
    <d v="2024-12-01T00:00:00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7603F-DE5D-4FB4-BD33-16DB8A10F5EA}" name="PivotTable1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5:C91" firstHeaderRow="0" firstDataRow="1" firstDataCol="1"/>
  <pivotFields count="21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 defaultSubtotal="0">
      <items count="1">
        <item x="0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_Price" fld="6" subtotal="count" baseField="3" baseItem="0"/>
    <dataField name="Average of Sale_Price" fld="6" subtotal="average" baseField="3" baseItem="0" numFmtId="2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F0BC0-67C9-4955-B22A-A5D83EC15F8C}" name="PivotTable1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7:B73" firstHeaderRow="1" firstDataRow="1" firstDataCol="1"/>
  <pivotFields count="21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 defaultSubtotal="0">
      <items count="1">
        <item x="0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Price" fld="6" baseField="0" baseItem="0" numFmtId="164"/>
  </dataFields>
  <formats count="1">
    <format dxfId="9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C8DA1-56CA-4880-A799-E1E12024409F}" name="PivotTable1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Quarters">
  <location ref="A49:G55" firstHeaderRow="1" firstDataRow="2" firstDataCol="1"/>
  <pivotFields count="21">
    <pivotField showAll="0"/>
    <pivotField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_Price" fld="6" subtotal="count" baseField="19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9FB5B-BB4A-4E05-972A-65BC02DF45E5}" name="PivotTable1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ake">
  <location ref="A26:B36" firstHeaderRow="1" firstDataRow="1" firstDataCol="1" rowPageCount="1" colPageCount="1"/>
  <pivotFields count="21">
    <pivotField showAll="0"/>
    <pivotField axis="axisRow" showAll="0">
      <items count="10">
        <item sd="0" x="7"/>
        <item sd="0" x="6"/>
        <item sd="0" x="5"/>
        <item sd="0" x="0"/>
        <item sd="0" x="3"/>
        <item sd="0" x="4"/>
        <item sd="0" x="2"/>
        <item sd="0" x="8"/>
        <item sd="0" x="1"/>
        <item t="default"/>
      </items>
    </pivotField>
    <pivotField axis="axisRow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 defaultSubtotal="0">
      <items count="1">
        <item x="0"/>
      </items>
    </pivotField>
  </pivotFields>
  <rowFields count="2">
    <field x="1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hier="-1"/>
  </pageFields>
  <dataFields count="1">
    <dataField name="Count of Sale_Price" fld="6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01116-3F9E-49A4-A1A5-73F7D570AD7A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5" rowHeaderCaption="Vehicle Category">
  <location ref="A4:D14" firstHeaderRow="0" firstDataRow="1" firstDataCol="1" rowPageCount="2" colPageCount="1"/>
  <pivotFields count="21">
    <pivotField dataField="1" showAll="0"/>
    <pivotField axis="axisRow" showAll="0">
      <items count="10">
        <item sd="0" x="7"/>
        <item sd="0" x="6"/>
        <item sd="0" x="5"/>
        <item sd="0" x="0"/>
        <item sd="0" x="3"/>
        <item sd="0" x="4"/>
        <item sd="0" x="2"/>
        <item sd="0" x="8"/>
        <item sd="0" x="1"/>
        <item t="default" sd="0"/>
      </items>
    </pivotField>
    <pivotField axis="axisRow" showAll="0">
      <items count="132">
        <item sd="0" x="21"/>
        <item sd="0" x="39"/>
        <item sd="0" x="103"/>
        <item sd="0" x="51"/>
        <item sd="0" x="59"/>
        <item sd="0" x="49"/>
        <item sd="0" x="10"/>
        <item sd="0" x="2"/>
        <item sd="0" x="109"/>
        <item sd="0" x="55"/>
        <item sd="0" x="47"/>
        <item sd="0" x="95"/>
        <item sd="0" x="81"/>
        <item sd="0" x="105"/>
        <item sd="0" x="57"/>
        <item sd="0" x="120"/>
        <item sd="0" x="108"/>
        <item sd="0" x="38"/>
        <item sd="0" x="11"/>
        <item sd="0" x="36"/>
        <item sd="0" x="92"/>
        <item sd="0" x="0"/>
        <item sd="0" x="99"/>
        <item sd="0" x="71"/>
        <item sd="0" x="27"/>
        <item sd="0" x="1"/>
        <item sd="0" x="113"/>
        <item sd="0" x="121"/>
        <item sd="0" x="75"/>
        <item sd="0" x="13"/>
        <item sd="0" x="23"/>
        <item sd="0" x="45"/>
        <item sd="0" x="88"/>
        <item sd="0" x="80"/>
        <item sd="0" x="3"/>
        <item sd="0" x="118"/>
        <item sd="0" x="67"/>
        <item sd="0" x="63"/>
        <item sd="0" x="20"/>
        <item sd="0" x="28"/>
        <item sd="0" x="72"/>
        <item sd="0" x="19"/>
        <item sd="0" x="65"/>
        <item sd="0" x="6"/>
        <item sd="0" x="83"/>
        <item sd="0" x="68"/>
        <item sd="0" x="35"/>
        <item sd="0" x="126"/>
        <item sd="0" x="50"/>
        <item sd="0" x="116"/>
        <item sd="0" x="5"/>
        <item sd="0" x="111"/>
        <item sd="0" x="127"/>
        <item sd="0" x="125"/>
        <item sd="0" x="33"/>
        <item sd="0" x="91"/>
        <item sd="0" x="74"/>
        <item sd="0" x="90"/>
        <item sd="0" x="46"/>
        <item sd="0" x="102"/>
        <item sd="0" x="110"/>
        <item sd="0" x="106"/>
        <item sd="0" x="93"/>
        <item sd="0" x="94"/>
        <item sd="0" x="101"/>
        <item sd="0" x="104"/>
        <item sd="0" x="122"/>
        <item sd="0" x="7"/>
        <item sd="0" x="112"/>
        <item sd="0" x="48"/>
        <item sd="0" x="100"/>
        <item sd="0" x="15"/>
        <item sd="0" x="98"/>
        <item sd="0" x="9"/>
        <item sd="0" x="31"/>
        <item sd="0" x="22"/>
        <item sd="0" x="82"/>
        <item sd="0" x="34"/>
        <item sd="0" x="37"/>
        <item sd="0" x="60"/>
        <item sd="0" x="56"/>
        <item sd="0" x="53"/>
        <item sd="0" x="77"/>
        <item sd="0" x="79"/>
        <item sd="0" x="32"/>
        <item sd="0" x="114"/>
        <item sd="0" x="115"/>
        <item sd="0" x="16"/>
        <item sd="0" x="107"/>
        <item sd="0" x="96"/>
        <item sd="0" x="62"/>
        <item sd="0" x="43"/>
        <item sd="0" x="24"/>
        <item sd="0" x="87"/>
        <item sd="0" x="40"/>
        <item sd="0" x="52"/>
        <item sd="0" x="130"/>
        <item sd="0" x="25"/>
        <item sd="0" x="12"/>
        <item sd="0" x="78"/>
        <item sd="0" x="66"/>
        <item sd="0" x="17"/>
        <item sd="0" x="54"/>
        <item sd="0" x="128"/>
        <item sd="0" x="61"/>
        <item sd="0" x="44"/>
        <item sd="0" x="26"/>
        <item sd="0" x="89"/>
        <item sd="0" x="73"/>
        <item sd="0" x="124"/>
        <item sd="0" x="41"/>
        <item sd="0" x="58"/>
        <item sd="0" x="42"/>
        <item sd="0" x="97"/>
        <item sd="0" x="64"/>
        <item sd="0" x="29"/>
        <item sd="0" x="4"/>
        <item sd="0" x="123"/>
        <item sd="0" x="86"/>
        <item sd="0" x="76"/>
        <item sd="0" x="70"/>
        <item sd="0" x="85"/>
        <item sd="0" x="119"/>
        <item sd="0" x="18"/>
        <item sd="0" x="30"/>
        <item sd="0" x="8"/>
        <item sd="0" x="14"/>
        <item sd="0" x="69"/>
        <item sd="0" x="84"/>
        <item sd="0" x="117"/>
        <item sd="0" x="129"/>
        <item t="default" sd="0"/>
      </items>
    </pivotField>
    <pivotField axis="axisPage" multipleItemSelectionAllowed="1" showAll="0">
      <items count="6">
        <item sd="0" x="3"/>
        <item sd="0" x="0"/>
        <item sd="0" x="1"/>
        <item sd="0" x="2"/>
        <item sd="0" x="4"/>
        <item t="default" sd="0"/>
      </items>
    </pivotField>
    <pivotField showAll="0">
      <items count="12">
        <item x="3"/>
        <item x="7"/>
        <item x="1"/>
        <item x="9"/>
        <item x="6"/>
        <item x="2"/>
        <item x="10"/>
        <item x="4"/>
        <item x="5"/>
        <item x="0"/>
        <item x="8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2">
        <item x="0"/>
        <item t="default"/>
      </items>
    </pivotField>
  </pivotFields>
  <rowFields count="2">
    <field x="1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1" hier="-1"/>
    <pageField fld="3" hier="-1"/>
  </pageFields>
  <dataFields count="3">
    <dataField name="Sales by Vehicle Category" fld="6" baseField="0" baseItem="0" numFmtId="43"/>
    <dataField name="Count of VIN" fld="0" subtotal="count" baseField="0" baseItem="0"/>
    <dataField name="Avg. Selling Price by make/model" fld="6" subtotal="average" baseField="2" baseItem="53" numFmtId="2"/>
  </dataFields>
  <formats count="4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/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B6817-EC26-4BD7-87AB-DCE72DBD78E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46:E52" firstHeaderRow="1" firstDataRow="2" firstDataCol="1"/>
  <pivotFields count="21"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Sale_Price" fld="6" subtotal="count" baseField="0" baseItem="0"/>
  </dataFields>
  <chartFormats count="9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1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9" count="1" selected="0">
            <x v="2"/>
          </reference>
        </references>
      </pivotArea>
    </chartFormat>
    <chartFormat chart="31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9" count="1" selected="0">
            <x v="1"/>
          </reference>
        </references>
      </pivotArea>
    </chartFormat>
    <chartFormat chart="31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BF1DD-94AB-4515-AFF1-453C96AF3D1B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8:B90" firstHeaderRow="1" firstDataRow="1" firstDataCol="1"/>
  <pivotFields count="21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2">
    <field x="3"/>
    <field x="19"/>
  </rowFields>
  <rowItems count="22">
    <i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2"/>
    </i>
    <i t="grand">
      <x/>
    </i>
  </rowItems>
  <colItems count="1">
    <i/>
  </colItems>
  <dataFields count="1">
    <dataField name="Sum of Sale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6967A-7FB0-45DE-B4BD-F649BBBCD20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 rowHeaderCaption="Quarters">
  <location ref="A6:B11" firstHeaderRow="1" firstDataRow="1" firstDataCol="1" rowPageCount="4" colPageCount="1"/>
  <pivotFields count="21">
    <pivotField showAll="0"/>
    <pivotField showAll="0"/>
    <pivotField showAll="0"/>
    <pivotField axis="axisPage" multipleItemSelectionAllowed="1" showAll="0">
      <items count="6">
        <item h="1" x="3"/>
        <item x="0"/>
        <item x="1"/>
        <item h="1" x="2"/>
        <item h="1" x="4"/>
        <item t="default"/>
      </items>
    </pivotField>
    <pivotField axis="axisPage" multipleItemSelectionAllowed="1" showAll="0">
      <items count="12">
        <item x="3"/>
        <item x="7"/>
        <item x="1"/>
        <item x="9"/>
        <item x="6"/>
        <item x="2"/>
        <item x="10"/>
        <item x="4"/>
        <item x="5"/>
        <item x="0"/>
        <item x="8"/>
        <item t="default"/>
      </items>
    </pivotField>
    <pivotField showAll="0">
      <items count="3">
        <item x="1"/>
        <item x="0"/>
        <item t="default"/>
      </items>
    </pivotField>
    <pivotField dataField="1" numFmtId="164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5" showAll="0"/>
    <pivotField axis="axisPage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2">
        <item x="0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4">
    <pageField fld="18" hier="-1"/>
    <pageField fld="3" hier="-1"/>
    <pageField fld="4" hier="-1"/>
    <pageField fld="12" hier="-1"/>
  </pageFields>
  <dataFields count="1">
    <dataField name="Sum of Sale_Price" fld="6" baseField="19" baseItem="2"/>
  </dataFields>
  <chartFormats count="1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624DC-8844-4888-9EAD-69CEFAE6F120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6:D82" firstHeaderRow="1" firstDataRow="2" firstDataCol="1"/>
  <pivotFields count="21"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Sale_Price" fld="6" baseField="0" baseItem="0" numFmtId="43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408D1-1264-4F17-BF66-601ABBDA5C94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8:B63" firstHeaderRow="1" firstDataRow="1" firstDataCol="1" rowPageCount="2" colPageCount="1"/>
  <pivotFields count="21">
    <pivotField showAll="0"/>
    <pivotField showAll="0"/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 defaultSubtotal="0">
      <items count="1">
        <item x="0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3" item="2" hier="-1"/>
    <pageField fld="5" item="1" hier="-1"/>
  </pageFields>
  <dataFields count="1">
    <dataField name="Count of Sale_Price" fld="6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4334D-D97C-4703-8C1F-80D96AFCCCB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2:D38" firstHeaderRow="1" firstDataRow="2" firstDataCol="1"/>
  <pivotFields count="21"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12">
        <item x="3"/>
        <item x="7"/>
        <item x="1"/>
        <item x="9"/>
        <item x="6"/>
        <item x="2"/>
        <item x="10"/>
        <item x="4"/>
        <item x="5"/>
        <item x="0"/>
        <item x="8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ale_Price" fld="6" subtotal="count" baseField="4" baseItem="0"/>
  </dataFields>
  <formats count="1">
    <format dxfId="12">
      <pivotArea outline="0" collapsedLevelsAreSubtotals="1" fieldPosition="0"/>
    </format>
  </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2DF85-9F9B-4DC7-A2AE-17D366C186D6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 rowPageCount="1" colPageCount="1"/>
  <pivotFields count="21">
    <pivotField showAll="0"/>
    <pivotField showAll="0"/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3" item="2" hier="-1"/>
  </pageFields>
  <dataFields count="1">
    <dataField name="Count of Sale_Price" fld="6" subtotal="count" baseField="19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D0967-8967-4C9C-B7D7-A66110C52A30}" name="PivotTable1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68:B123" firstHeaderRow="1" firstDataRow="1" firstDataCol="1"/>
  <pivotFields count="21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axis="axisRow" multipleItemSelectionAllowe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multipleItemSelectionAllowed="1" showAll="0">
      <items count="5">
        <item h="1" x="0"/>
        <item x="1"/>
        <item x="2"/>
        <item h="1" x="3"/>
        <item t="default"/>
      </items>
    </pivotField>
    <pivotField showAll="0" defaultSubtotal="0">
      <items count="1">
        <item x="0"/>
      </items>
    </pivotField>
  </pivotFields>
  <rowFields count="3">
    <field x="3"/>
    <field x="11"/>
    <field x="19"/>
  </rowFields>
  <rowItems count="55">
    <i>
      <x/>
    </i>
    <i r="1">
      <x/>
    </i>
    <i r="2">
      <x v="1"/>
    </i>
    <i r="1">
      <x v="1"/>
    </i>
    <i r="2">
      <x v="1"/>
    </i>
    <i r="2">
      <x v="2"/>
    </i>
    <i r="1">
      <x v="3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r="1">
      <x v="3"/>
    </i>
    <i r="2">
      <x v="1"/>
    </i>
    <i r="2">
      <x v="2"/>
    </i>
    <i>
      <x v="2"/>
    </i>
    <i r="1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r="1">
      <x v="3"/>
    </i>
    <i r="2">
      <x v="1"/>
    </i>
    <i r="2">
      <x v="2"/>
    </i>
    <i>
      <x v="3"/>
    </i>
    <i r="1">
      <x/>
    </i>
    <i r="2">
      <x v="1"/>
    </i>
    <i r="1">
      <x v="1"/>
    </i>
    <i r="2">
      <x v="1"/>
    </i>
    <i r="1">
      <x v="2"/>
    </i>
    <i r="2">
      <x v="1"/>
    </i>
    <i r="2">
      <x v="2"/>
    </i>
    <i r="1">
      <x v="3"/>
    </i>
    <i r="2">
      <x v="1"/>
    </i>
    <i r="2">
      <x v="2"/>
    </i>
    <i>
      <x v="4"/>
    </i>
    <i r="1">
      <x/>
    </i>
    <i r="2">
      <x v="2"/>
    </i>
    <i r="1">
      <x v="1"/>
    </i>
    <i r="2">
      <x v="2"/>
    </i>
    <i r="1">
      <x v="2"/>
    </i>
    <i r="2">
      <x v="2"/>
    </i>
    <i r="1">
      <x v="3"/>
    </i>
    <i r="2">
      <x v="2"/>
    </i>
    <i t="grand">
      <x/>
    </i>
  </rowItems>
  <colItems count="1">
    <i/>
  </colItems>
  <dataFields count="1">
    <dataField name="Count of Sale_Price" fld="6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91ED7-3F27-488C-AA34-79AC74AAC5E9}" name="PivotTable1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5:B5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 defaultSubtotal="0">
      <items count="1">
        <item x="0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 hier="-1"/>
  </pageFields>
  <dataFields count="1">
    <dataField name="Sum of Sale_Price" fld="6" baseField="0" baseItem="0" numFmtId="164"/>
  </dataFields>
  <formats count="1">
    <format dxfId="1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7C165-356D-4BC6-8EB1-2AE6415828B2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3:B8" firstHeaderRow="1" firstDataRow="1" firstDataCol="1" rowPageCount="1" colPageCount="1"/>
  <pivotFields count="21">
    <pivotField showAll="0"/>
    <pivotField showAll="0"/>
    <pivotField axis="axisRow" showAll="0">
      <items count="132">
        <item h="1" x="21"/>
        <item h="1" x="39"/>
        <item h="1" x="103"/>
        <item h="1" x="51"/>
        <item h="1" x="59"/>
        <item x="49"/>
        <item h="1" x="10"/>
        <item h="1" x="2"/>
        <item h="1" x="109"/>
        <item h="1" x="55"/>
        <item h="1" x="47"/>
        <item h="1" x="95"/>
        <item h="1" x="81"/>
        <item h="1" x="105"/>
        <item h="1" x="57"/>
        <item h="1" x="120"/>
        <item h="1" x="108"/>
        <item h="1" x="38"/>
        <item h="1" x="11"/>
        <item h="1" x="36"/>
        <item h="1" x="92"/>
        <item h="1" x="0"/>
        <item h="1" x="99"/>
        <item h="1" x="71"/>
        <item h="1" x="27"/>
        <item h="1" x="1"/>
        <item h="1" x="113"/>
        <item h="1" x="121"/>
        <item h="1" x="75"/>
        <item h="1" x="13"/>
        <item h="1" x="23"/>
        <item h="1" x="45"/>
        <item h="1" x="88"/>
        <item h="1" x="80"/>
        <item h="1" x="3"/>
        <item h="1" x="118"/>
        <item h="1" x="67"/>
        <item h="1" x="63"/>
        <item h="1" x="20"/>
        <item h="1" x="28"/>
        <item h="1" x="72"/>
        <item h="1" x="19"/>
        <item h="1" x="65"/>
        <item h="1" x="6"/>
        <item h="1" x="83"/>
        <item h="1" x="68"/>
        <item h="1" x="35"/>
        <item h="1" x="126"/>
        <item h="1" x="50"/>
        <item h="1" x="116"/>
        <item h="1" x="5"/>
        <item h="1" x="111"/>
        <item h="1" x="127"/>
        <item h="1" x="125"/>
        <item h="1" x="33"/>
        <item h="1" x="91"/>
        <item h="1" x="74"/>
        <item h="1" x="90"/>
        <item h="1" x="46"/>
        <item h="1" x="102"/>
        <item h="1" x="110"/>
        <item h="1" x="106"/>
        <item h="1" x="93"/>
        <item h="1" x="94"/>
        <item h="1" x="101"/>
        <item h="1" x="104"/>
        <item h="1" x="122"/>
        <item h="1" x="7"/>
        <item h="1" x="112"/>
        <item h="1" x="48"/>
        <item h="1" x="100"/>
        <item h="1" x="15"/>
        <item h="1" x="98"/>
        <item h="1" x="9"/>
        <item h="1" x="31"/>
        <item h="1" x="22"/>
        <item h="1" x="82"/>
        <item h="1" x="34"/>
        <item h="1" x="37"/>
        <item h="1" x="60"/>
        <item h="1" x="56"/>
        <item h="1" x="53"/>
        <item h="1" x="77"/>
        <item h="1" x="79"/>
        <item h="1" x="32"/>
        <item h="1" x="114"/>
        <item h="1" x="115"/>
        <item h="1" x="16"/>
        <item h="1" x="107"/>
        <item h="1" x="96"/>
        <item h="1" x="62"/>
        <item h="1" x="43"/>
        <item h="1" x="24"/>
        <item h="1" x="87"/>
        <item h="1" x="40"/>
        <item h="1" x="52"/>
        <item h="1" x="130"/>
        <item h="1" x="25"/>
        <item h="1" x="12"/>
        <item h="1" x="78"/>
        <item h="1" x="66"/>
        <item h="1" x="17"/>
        <item h="1" x="54"/>
        <item h="1" x="128"/>
        <item h="1" x="61"/>
        <item h="1" x="44"/>
        <item h="1" x="26"/>
        <item x="89"/>
        <item h="1" x="73"/>
        <item h="1" x="124"/>
        <item h="1" x="41"/>
        <item h="1" x="58"/>
        <item h="1" x="42"/>
        <item h="1" x="97"/>
        <item h="1" x="64"/>
        <item h="1" x="29"/>
        <item h="1" x="4"/>
        <item h="1" x="123"/>
        <item h="1" x="86"/>
        <item h="1" x="76"/>
        <item h="1" x="70"/>
        <item x="85"/>
        <item h="1" x="119"/>
        <item h="1" x="18"/>
        <item h="1" x="30"/>
        <item h="1" x="8"/>
        <item h="1" x="14"/>
        <item h="1" x="69"/>
        <item x="84"/>
        <item h="1" x="117"/>
        <item h="1" x="129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 defaultSubtotal="0">
      <items count="1">
        <item x="0"/>
      </items>
    </pivotField>
  </pivotFields>
  <rowFields count="1">
    <field x="2"/>
  </rowFields>
  <rowItems count="5">
    <i>
      <x v="5"/>
    </i>
    <i>
      <x v="107"/>
    </i>
    <i>
      <x v="121"/>
    </i>
    <i>
      <x v="128"/>
    </i>
    <i t="grand">
      <x/>
    </i>
  </rowItems>
  <colItems count="1">
    <i/>
  </colItems>
  <pageFields count="1">
    <pageField fld="3" item="1" hier="-1"/>
  </pageFields>
  <dataFields count="1">
    <dataField name="Sum of Sale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53842-C5DB-4EDF-A8E4-29E305EFF3E9}" name="Car_Sales" displayName="Car_Sales" ref="A1:T138" totalsRowShown="0">
  <autoFilter ref="A1:T138" xr:uid="{CAD924CA-1EF9-42B8-AFB7-6CEDF4FD5770}"/>
  <sortState xmlns:xlrd2="http://schemas.microsoft.com/office/spreadsheetml/2017/richdata2" ref="A2:T138">
    <sortCondition descending="1" ref="G3:G138"/>
  </sortState>
  <tableColumns count="20">
    <tableColumn id="1" xr3:uid="{2F985FD9-8181-422A-BA62-7AD69D5806E7}" name="VIN"/>
    <tableColumn id="2" xr3:uid="{0A988EEC-7859-4D7D-B007-8971E3D71545}" name="Make"/>
    <tableColumn id="3" xr3:uid="{BA78457A-ECC6-4062-8D34-90C139FB5C45}" name="Model"/>
    <tableColumn id="4" xr3:uid="{3B01419B-7E63-4E78-8621-07C64BAF5A6F}" name="Vehicle_Category">
      <calculatedColumnFormula>PROPER(Car_Sales[[#This Row],[Vehicle_Category]])</calculatedColumnFormula>
    </tableColumn>
    <tableColumn id="5" xr3:uid="{69B70095-E599-477E-9A66-2F299B7FBF5D}" name="Vehicle_Sub_Category"/>
    <tableColumn id="6" xr3:uid="{71F67DC8-CFB9-4FA1-8AFA-07FDBFF50680}" name="Market_Segment"/>
    <tableColumn id="7" xr3:uid="{7E823FC7-5A59-4047-AD04-BCC869483D28}" name="Sale_Price" dataDxfId="20"/>
    <tableColumn id="8" xr3:uid="{7403F2C0-56E9-486B-944A-EB632BFE1F24}" name="Sale_Price_Segment" dataDxfId="19">
      <calculatedColumnFormula>SUBSTITUTE(Car_Sales[[#This Row],[Sale_Price_Segment]], "K", "000")</calculatedColumnFormula>
    </tableColumn>
    <tableColumn id="9" xr3:uid="{F680AE9B-3B32-415D-A18A-AD82E9071324}" name="Customer_Name"/>
    <tableColumn id="10" xr3:uid="{1ECF2B3B-6744-46B0-92BC-E423AA1B2249}" name="Customer_Email"/>
    <tableColumn id="11" xr3:uid="{5758F327-6707-46D5-B1F4-36C21D4443F8}" name="Dealer_Name">
      <calculatedColumnFormula>PROPER(Car_Sales[[#This Row],[Dealer_Name]])</calculatedColumnFormula>
    </tableColumn>
    <tableColumn id="12" xr3:uid="{1AF36F3B-FB46-455C-9A20-9B4B9A15ED19}" name="Dealer_Region"/>
    <tableColumn id="13" xr3:uid="{7655BDDA-8236-4E80-BD1E-9173DB9DF19A}" name="Fuel_Type">
      <calculatedColumnFormula>PROPER(Car_Sales[[#This Row],[Fuel_Type]])</calculatedColumnFormula>
    </tableColumn>
    <tableColumn id="14" xr3:uid="{8C2899F0-BD7B-4589-8811-3315C7A1C743}" name="Engine_Size"/>
    <tableColumn id="15" xr3:uid="{2DF4A0EC-6972-482D-A156-1281D32E29AC}" name="Color"/>
    <tableColumn id="16" xr3:uid="{0B6786F3-07E5-468B-B00E-9D44FCD9173F}" name="Mileage"/>
    <tableColumn id="17" xr3:uid="{C6134D77-804F-4DDB-8609-A6BD2EA4FFA2}" name="Model_Year"/>
    <tableColumn id="18" xr3:uid="{263D6AD5-C44E-4A7E-8EE1-AC0AACD24410}" name="Sales_Date_A" dataDxfId="14">
      <calculatedColumnFormula>DATE(LEFT(Car_Sales[[#This Row],[Sales_Date_A]], 4), RIGHT(Car_Sales[[#This Row],[Sales_Date_A]], 2), 1)</calculatedColumnFormula>
    </tableColumn>
    <tableColumn id="19" xr3:uid="{3DB792E5-D691-4437-9F4F-BA1A3D3F07C7}" name="Sales_Date_B" dataDxfId="13"/>
    <tableColumn id="20" xr3:uid="{3ABDF33E-ECA1-474E-BD3A-CA59932FA99B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8"/>
  <sheetViews>
    <sheetView topLeftCell="E37" zoomScale="114" workbookViewId="0">
      <selection activeCell="M42" sqref="M42"/>
    </sheetView>
  </sheetViews>
  <sheetFormatPr defaultRowHeight="15"/>
  <cols>
    <col min="1" max="1" width="20.85546875" bestFit="1" customWidth="1"/>
    <col min="2" max="2" width="17.7109375" customWidth="1"/>
    <col min="3" max="3" width="16.7109375" bestFit="1" customWidth="1"/>
    <col min="4" max="4" width="19" bestFit="1" customWidth="1"/>
    <col min="5" max="5" width="24" bestFit="1" customWidth="1"/>
    <col min="6" max="6" width="19.42578125" bestFit="1" customWidth="1"/>
    <col min="7" max="7" width="13.7109375" customWidth="1"/>
    <col min="8" max="8" width="21.5703125" bestFit="1" customWidth="1"/>
    <col min="9" max="9" width="18.85546875" bestFit="1" customWidth="1"/>
    <col min="10" max="10" width="26.85546875" bestFit="1" customWidth="1"/>
    <col min="11" max="11" width="15.5703125" bestFit="1" customWidth="1"/>
    <col min="12" max="12" width="16.42578125" bestFit="1" customWidth="1"/>
    <col min="13" max="13" width="12.28515625" customWidth="1"/>
    <col min="14" max="14" width="13.85546875" bestFit="1" customWidth="1"/>
    <col min="15" max="15" width="9.85546875" bestFit="1" customWidth="1"/>
    <col min="16" max="16" width="10.42578125" customWidth="1"/>
    <col min="17" max="17" width="14" customWidth="1"/>
    <col min="18" max="18" width="21" customWidth="1"/>
    <col min="19" max="19" width="19.140625" customWidth="1"/>
    <col min="20" max="20" width="16.5703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615</v>
      </c>
      <c r="B2" t="s">
        <v>91</v>
      </c>
      <c r="C2" t="s">
        <v>616</v>
      </c>
      <c r="D2" t="str">
        <f ca="1">PROPER(Car_Sales[[#This Row],[Vehicle_Category]])</f>
        <v>Coupe</v>
      </c>
      <c r="E2" t="s">
        <v>290</v>
      </c>
      <c r="F2" t="s">
        <v>87</v>
      </c>
      <c r="G2" s="2">
        <v>199900</v>
      </c>
      <c r="H2" s="3" t="str">
        <f ca="1">SUBSTITUTE(Car_Sales[[#This Row],[Sale_Price_Segment]], "K", "000")</f>
        <v>Over $130000</v>
      </c>
      <c r="I2" t="s">
        <v>617</v>
      </c>
      <c r="J2" t="s">
        <v>618</v>
      </c>
      <c r="K2" t="str">
        <f ca="1">PROPER(Car_Sales[[#This Row],[Dealer_Name]])</f>
        <v>Tesla Direct</v>
      </c>
      <c r="L2" t="s">
        <v>37</v>
      </c>
      <c r="M2" t="str">
        <f ca="1">PROPER(Car_Sales[[#This Row],[Fuel_Type]])</f>
        <v>Electric</v>
      </c>
      <c r="N2" s="1" t="s">
        <v>620</v>
      </c>
      <c r="O2" t="s">
        <v>54</v>
      </c>
      <c r="P2">
        <v>500</v>
      </c>
      <c r="Q2">
        <v>2024</v>
      </c>
      <c r="R2" s="4">
        <f ca="1">DATE(LEFT(Car_Sales[[#This Row],[Sales_Date_A]], 4), RIGHT(Car_Sales[[#This Row],[Sales_Date_A]], 2), 1)</f>
        <v>45627</v>
      </c>
      <c r="S2" s="4">
        <v>45646</v>
      </c>
      <c r="T2" t="s">
        <v>458</v>
      </c>
    </row>
    <row r="3" spans="1:20">
      <c r="A3" t="s">
        <v>348</v>
      </c>
      <c r="B3" t="s">
        <v>91</v>
      </c>
      <c r="C3" t="s">
        <v>349</v>
      </c>
      <c r="D3" t="str">
        <f ca="1">PROPER(Car_Sales[[#This Row],[Vehicle_Category]])</f>
        <v>Truck</v>
      </c>
      <c r="E3" t="s">
        <v>75</v>
      </c>
      <c r="F3" t="s">
        <v>87</v>
      </c>
      <c r="G3" s="2">
        <v>179900</v>
      </c>
      <c r="H3" s="3" t="str">
        <f ca="1">SUBSTITUTE(Car_Sales[[#This Row],[Sale_Price_Segment]], "K", "000")</f>
        <v>Over $130000</v>
      </c>
      <c r="I3" t="s">
        <v>350</v>
      </c>
      <c r="J3" t="s">
        <v>351</v>
      </c>
      <c r="K3" t="str">
        <f ca="1">PROPER(Car_Sales[[#This Row],[Dealer_Name]])</f>
        <v>Tesla Direct</v>
      </c>
      <c r="L3" t="s">
        <v>37</v>
      </c>
      <c r="M3" t="str">
        <f ca="1">PROPER(Car_Sales[[#This Row],[Fuel_Type]])</f>
        <v>Electric</v>
      </c>
      <c r="N3" s="1" t="s">
        <v>620</v>
      </c>
      <c r="O3" t="s">
        <v>47</v>
      </c>
      <c r="P3">
        <v>2000</v>
      </c>
      <c r="Q3">
        <v>2024</v>
      </c>
      <c r="R3" s="4">
        <f ca="1">DATE(LEFT(Car_Sales[[#This Row],[Sales_Date_A]], 4), RIGHT(Car_Sales[[#This Row],[Sales_Date_A]], 2), 1)</f>
        <v>45505</v>
      </c>
      <c r="S3" s="4">
        <v>45524</v>
      </c>
      <c r="T3" t="s">
        <v>266</v>
      </c>
    </row>
    <row r="4" spans="1:20">
      <c r="A4" t="s">
        <v>449</v>
      </c>
      <c r="B4" t="s">
        <v>85</v>
      </c>
      <c r="C4" t="s">
        <v>450</v>
      </c>
      <c r="D4" t="str">
        <f ca="1">PROPER(Car_Sales[[#This Row],[Vehicle_Category]])</f>
        <v>Coupe</v>
      </c>
      <c r="E4" t="s">
        <v>451</v>
      </c>
      <c r="F4" t="s">
        <v>87</v>
      </c>
      <c r="G4" s="2">
        <v>149900</v>
      </c>
      <c r="H4" s="3" t="str">
        <f ca="1">SUBSTITUTE(Car_Sales[[#This Row],[Sale_Price_Segment]], "K", "000")</f>
        <v>Over $130000</v>
      </c>
      <c r="I4" t="s">
        <v>452</v>
      </c>
      <c r="J4" t="s">
        <v>453</v>
      </c>
      <c r="K4" t="str">
        <f ca="1">PROPER(Car_Sales[[#This Row],[Dealer_Name]])</f>
        <v>Bmw Elite</v>
      </c>
      <c r="L4" t="s">
        <v>28</v>
      </c>
      <c r="M4" t="str">
        <f ca="1">PROPER(Car_Sales[[#This Row],[Fuel_Type]])</f>
        <v>Hybrid</v>
      </c>
      <c r="N4" t="s">
        <v>29</v>
      </c>
      <c r="O4" t="s">
        <v>30</v>
      </c>
      <c r="P4">
        <v>8000</v>
      </c>
      <c r="Q4">
        <v>2023</v>
      </c>
      <c r="R4" s="4">
        <f ca="1">DATE(LEFT(Car_Sales[[#This Row],[Sales_Date_A]], 4), RIGHT(Car_Sales[[#This Row],[Sales_Date_A]], 2), 1)</f>
        <v>45536</v>
      </c>
      <c r="S4" s="4">
        <v>45555</v>
      </c>
      <c r="T4" t="s">
        <v>266</v>
      </c>
    </row>
    <row r="5" spans="1:20">
      <c r="A5" t="s">
        <v>288</v>
      </c>
      <c r="B5" t="s">
        <v>91</v>
      </c>
      <c r="C5" t="s">
        <v>289</v>
      </c>
      <c r="D5" t="str">
        <f ca="1">PROPER(Car_Sales[[#This Row],[Vehicle_Category]])</f>
        <v>Coupe</v>
      </c>
      <c r="E5" t="s">
        <v>290</v>
      </c>
      <c r="F5" t="s">
        <v>87</v>
      </c>
      <c r="G5" s="2">
        <v>129900</v>
      </c>
      <c r="H5" s="3" t="str">
        <f ca="1">SUBSTITUTE(Car_Sales[[#This Row],[Sale_Price_Segment]], "K", "000")</f>
        <v>$90000-$129.9000</v>
      </c>
      <c r="I5" t="s">
        <v>291</v>
      </c>
      <c r="J5" t="s">
        <v>292</v>
      </c>
      <c r="K5" t="str">
        <f ca="1">PROPER(Car_Sales[[#This Row],[Dealer_Name]])</f>
        <v>Tesla Direct</v>
      </c>
      <c r="L5" t="s">
        <v>37</v>
      </c>
      <c r="M5" t="str">
        <f ca="1">PROPER(Car_Sales[[#This Row],[Fuel_Type]])</f>
        <v>Electric</v>
      </c>
      <c r="N5" s="1" t="s">
        <v>620</v>
      </c>
      <c r="O5" t="s">
        <v>54</v>
      </c>
      <c r="P5">
        <v>500</v>
      </c>
      <c r="Q5">
        <v>2024</v>
      </c>
      <c r="R5" s="4">
        <f ca="1">DATE(LEFT(Car_Sales[[#This Row],[Sales_Date_A]], 4), RIGHT(Car_Sales[[#This Row],[Sales_Date_A]], 2), 1)</f>
        <v>45474</v>
      </c>
      <c r="S5" s="4">
        <v>45493</v>
      </c>
      <c r="T5" t="s">
        <v>266</v>
      </c>
    </row>
    <row r="6" spans="1:20">
      <c r="A6" t="s">
        <v>548</v>
      </c>
      <c r="B6" t="s">
        <v>91</v>
      </c>
      <c r="C6" t="s">
        <v>549</v>
      </c>
      <c r="D6" t="str">
        <f ca="1">PROPER(Car_Sales[[#This Row],[Vehicle_Category]])</f>
        <v>Sedan</v>
      </c>
      <c r="E6" t="s">
        <v>43</v>
      </c>
      <c r="F6" t="s">
        <v>87</v>
      </c>
      <c r="G6" s="2">
        <v>129900</v>
      </c>
      <c r="H6" s="3" t="str">
        <f ca="1">SUBSTITUTE(Car_Sales[[#This Row],[Sale_Price_Segment]], "K", "000")</f>
        <v>$90000-$129.9000</v>
      </c>
      <c r="I6" t="s">
        <v>550</v>
      </c>
      <c r="J6" t="s">
        <v>551</v>
      </c>
      <c r="K6" t="str">
        <f ca="1">PROPER(Car_Sales[[#This Row],[Dealer_Name]])</f>
        <v>Tesla Direct</v>
      </c>
      <c r="L6" t="s">
        <v>37</v>
      </c>
      <c r="M6" t="str">
        <f ca="1">PROPER(Car_Sales[[#This Row],[Fuel_Type]])</f>
        <v>Electric</v>
      </c>
      <c r="N6" s="1" t="s">
        <v>620</v>
      </c>
      <c r="O6" t="s">
        <v>61</v>
      </c>
      <c r="P6">
        <v>1500</v>
      </c>
      <c r="Q6">
        <v>2024</v>
      </c>
      <c r="R6" s="4">
        <f ca="1">DATE(LEFT(Car_Sales[[#This Row],[Sales_Date_A]], 4), RIGHT(Car_Sales[[#This Row],[Sales_Date_A]], 2), 1)</f>
        <v>45597</v>
      </c>
      <c r="S6" s="4">
        <v>45616</v>
      </c>
      <c r="T6" t="s">
        <v>458</v>
      </c>
    </row>
    <row r="7" spans="1:20">
      <c r="A7" t="s">
        <v>593</v>
      </c>
      <c r="B7" t="s">
        <v>41</v>
      </c>
      <c r="C7" t="s">
        <v>594</v>
      </c>
      <c r="D7" t="str">
        <f ca="1">PROPER(Car_Sales[[#This Row],[Vehicle_Category]])</f>
        <v>Coupe</v>
      </c>
      <c r="E7" t="s">
        <v>591</v>
      </c>
      <c r="F7" t="s">
        <v>25</v>
      </c>
      <c r="G7" s="2">
        <v>115900</v>
      </c>
      <c r="H7" s="3" t="str">
        <f ca="1">SUBSTITUTE(Car_Sales[[#This Row],[Sale_Price_Segment]], "K", "000")</f>
        <v>$90000-$129.9000</v>
      </c>
      <c r="I7" t="s">
        <v>595</v>
      </c>
      <c r="J7" t="s">
        <v>596</v>
      </c>
      <c r="K7" t="str">
        <f ca="1">PROPER(Car_Sales[[#This Row],[Dealer_Name]])</f>
        <v>Nissan Direct</v>
      </c>
      <c r="L7" t="s">
        <v>68</v>
      </c>
      <c r="M7" t="str">
        <f ca="1">PROPER(Car_Sales[[#This Row],[Fuel_Type]])</f>
        <v>Gasoline</v>
      </c>
      <c r="N7" t="s">
        <v>310</v>
      </c>
      <c r="O7" t="s">
        <v>61</v>
      </c>
      <c r="P7">
        <v>2500</v>
      </c>
      <c r="Q7">
        <v>2024</v>
      </c>
      <c r="R7" s="4">
        <f ca="1">DATE(LEFT(Car_Sales[[#This Row],[Sales_Date_A]], 4), RIGHT(Car_Sales[[#This Row],[Sales_Date_A]], 2), 1)</f>
        <v>45627</v>
      </c>
      <c r="S7" s="4">
        <v>45646</v>
      </c>
      <c r="T7" t="s">
        <v>458</v>
      </c>
    </row>
    <row r="8" spans="1:20">
      <c r="A8" t="s">
        <v>576</v>
      </c>
      <c r="B8" t="s">
        <v>81</v>
      </c>
      <c r="C8" t="s">
        <v>577</v>
      </c>
      <c r="D8" t="str">
        <f ca="1">PROPER(Car_Sales[[#This Row],[Vehicle_Category]])</f>
        <v>Coupe</v>
      </c>
      <c r="E8" t="s">
        <v>225</v>
      </c>
      <c r="F8" t="s">
        <v>25</v>
      </c>
      <c r="G8" s="2">
        <v>106900</v>
      </c>
      <c r="H8" s="3" t="str">
        <f ca="1">SUBSTITUTE(Car_Sales[[#This Row],[Sale_Price_Segment]], "K", "000")</f>
        <v>$90000-$129.9000</v>
      </c>
      <c r="I8" t="s">
        <v>578</v>
      </c>
      <c r="J8" t="s">
        <v>579</v>
      </c>
      <c r="K8" t="str">
        <f ca="1">PROPER(Car_Sales[[#This Row],[Dealer_Name]])</f>
        <v>Chevy World</v>
      </c>
      <c r="L8" t="s">
        <v>78</v>
      </c>
      <c r="M8" t="str">
        <f ca="1">PROPER(Car_Sales[[#This Row],[Fuel_Type]])</f>
        <v>Gasoline</v>
      </c>
      <c r="N8" t="s">
        <v>580</v>
      </c>
      <c r="O8" t="s">
        <v>283</v>
      </c>
      <c r="P8">
        <v>2000</v>
      </c>
      <c r="Q8">
        <v>2024</v>
      </c>
      <c r="R8" s="4">
        <f ca="1">DATE(LEFT(Car_Sales[[#This Row],[Sales_Date_A]], 4), RIGHT(Car_Sales[[#This Row],[Sales_Date_A]], 2), 1)</f>
        <v>45627</v>
      </c>
      <c r="S8" s="4">
        <v>45646</v>
      </c>
      <c r="T8" t="s">
        <v>458</v>
      </c>
    </row>
    <row r="9" spans="1:20">
      <c r="A9" t="s">
        <v>196</v>
      </c>
      <c r="B9" t="s">
        <v>91</v>
      </c>
      <c r="C9" t="s">
        <v>197</v>
      </c>
      <c r="D9" t="str">
        <f ca="1">PROPER(Car_Sales[[#This Row],[Vehicle_Category]])</f>
        <v>Suv</v>
      </c>
      <c r="E9" t="s">
        <v>65</v>
      </c>
      <c r="F9" t="s">
        <v>87</v>
      </c>
      <c r="G9" s="2">
        <v>99900</v>
      </c>
      <c r="H9" s="3" t="str">
        <f ca="1">SUBSTITUTE(Car_Sales[[#This Row],[Sale_Price_Segment]], "K", "000")</f>
        <v>$90000-$129.9000</v>
      </c>
      <c r="I9" t="s">
        <v>198</v>
      </c>
      <c r="J9" t="s">
        <v>199</v>
      </c>
      <c r="K9" t="str">
        <f ca="1">PROPER(Car_Sales[[#This Row],[Dealer_Name]])</f>
        <v>Tesla Direct</v>
      </c>
      <c r="L9" t="s">
        <v>37</v>
      </c>
      <c r="M9" t="str">
        <f ca="1">PROPER(Car_Sales[[#This Row],[Fuel_Type]])</f>
        <v>Electric</v>
      </c>
      <c r="N9" s="1" t="s">
        <v>620</v>
      </c>
      <c r="O9" t="s">
        <v>39</v>
      </c>
      <c r="P9">
        <v>4000</v>
      </c>
      <c r="Q9">
        <v>2024</v>
      </c>
      <c r="R9" s="4">
        <f ca="1">DATE(LEFT(Car_Sales[[#This Row],[Sales_Date_A]], 4), RIGHT(Car_Sales[[#This Row],[Sales_Date_A]], 2), 1)</f>
        <v>45413</v>
      </c>
      <c r="S9" s="4">
        <v>45432</v>
      </c>
      <c r="T9" t="s">
        <v>121</v>
      </c>
    </row>
    <row r="10" spans="1:20">
      <c r="A10" t="s">
        <v>320</v>
      </c>
      <c r="B10" t="s">
        <v>85</v>
      </c>
      <c r="C10" t="s">
        <v>321</v>
      </c>
      <c r="D10" t="str">
        <f ca="1">PROPER(Car_Sales[[#This Row],[Vehicle_Category]])</f>
        <v>Coupe</v>
      </c>
      <c r="E10" t="s">
        <v>232</v>
      </c>
      <c r="F10" t="s">
        <v>87</v>
      </c>
      <c r="G10" s="2">
        <v>99900</v>
      </c>
      <c r="H10" s="3" t="str">
        <f ca="1">SUBSTITUTE(Car_Sales[[#This Row],[Sale_Price_Segment]], "K", "000")</f>
        <v>$90000-$129.9000</v>
      </c>
      <c r="I10" t="s">
        <v>322</v>
      </c>
      <c r="J10" t="s">
        <v>323</v>
      </c>
      <c r="K10" t="str">
        <f ca="1">PROPER(Car_Sales[[#This Row],[Dealer_Name]])</f>
        <v>Bmw Elite</v>
      </c>
      <c r="L10" t="s">
        <v>28</v>
      </c>
      <c r="M10" t="str">
        <f ca="1">PROPER(Car_Sales[[#This Row],[Fuel_Type]])</f>
        <v>Gasoline</v>
      </c>
      <c r="N10" t="s">
        <v>126</v>
      </c>
      <c r="O10" t="s">
        <v>30</v>
      </c>
      <c r="P10">
        <v>18000</v>
      </c>
      <c r="Q10">
        <v>2022</v>
      </c>
      <c r="R10" s="4">
        <f ca="1">DATE(LEFT(Car_Sales[[#This Row],[Sales_Date_A]], 4), RIGHT(Car_Sales[[#This Row],[Sales_Date_A]], 2), 1)</f>
        <v>45474</v>
      </c>
      <c r="S10" s="4">
        <v>45493</v>
      </c>
      <c r="T10" t="s">
        <v>266</v>
      </c>
    </row>
    <row r="11" spans="1:20">
      <c r="A11" t="s">
        <v>284</v>
      </c>
      <c r="B11" t="s">
        <v>85</v>
      </c>
      <c r="C11" t="s">
        <v>285</v>
      </c>
      <c r="D11" t="str">
        <f ca="1">PROPER(Car_Sales[[#This Row],[Vehicle_Category]])</f>
        <v>Sedan</v>
      </c>
      <c r="E11" t="s">
        <v>43</v>
      </c>
      <c r="F11" t="s">
        <v>87</v>
      </c>
      <c r="G11" s="2">
        <v>89900</v>
      </c>
      <c r="H11" s="3" t="str">
        <f ca="1">SUBSTITUTE(Car_Sales[[#This Row],[Sale_Price_Segment]], "K", "000")</f>
        <v>$60000-$89.9000</v>
      </c>
      <c r="I11" t="s">
        <v>286</v>
      </c>
      <c r="J11" t="s">
        <v>287</v>
      </c>
      <c r="K11" t="str">
        <f ca="1">PROPER(Car_Sales[[#This Row],[Dealer_Name]])</f>
        <v>Bmw Elite</v>
      </c>
      <c r="L11" t="s">
        <v>28</v>
      </c>
      <c r="M11" t="str">
        <f ca="1">PROPER(Car_Sales[[#This Row],[Fuel_Type]])</f>
        <v>Gasoline</v>
      </c>
      <c r="N11" t="s">
        <v>126</v>
      </c>
      <c r="O11" t="s">
        <v>70</v>
      </c>
      <c r="P11">
        <v>26000</v>
      </c>
      <c r="Q11">
        <v>2020</v>
      </c>
      <c r="R11" s="4">
        <f ca="1">DATE(LEFT(Car_Sales[[#This Row],[Sales_Date_A]], 4), RIGHT(Car_Sales[[#This Row],[Sales_Date_A]], 2), 1)</f>
        <v>45474</v>
      </c>
      <c r="S11" s="4">
        <v>45493</v>
      </c>
      <c r="T11" t="s">
        <v>266</v>
      </c>
    </row>
    <row r="12" spans="1:20">
      <c r="A12" t="s">
        <v>601</v>
      </c>
      <c r="B12" t="s">
        <v>63</v>
      </c>
      <c r="C12" t="s">
        <v>602</v>
      </c>
      <c r="D12" t="str">
        <f ca="1">PROPER(Car_Sales[[#This Row],[Vehicle_Category]])</f>
        <v>Suv</v>
      </c>
      <c r="E12" t="s">
        <v>65</v>
      </c>
      <c r="F12" t="s">
        <v>25</v>
      </c>
      <c r="G12" s="2">
        <v>89900</v>
      </c>
      <c r="H12" s="3" t="str">
        <f ca="1">SUBSTITUTE(Car_Sales[[#This Row],[Sale_Price_Segment]], "K", "000")</f>
        <v>$60000-$89.9000</v>
      </c>
      <c r="I12" t="s">
        <v>603</v>
      </c>
      <c r="J12" t="s">
        <v>604</v>
      </c>
      <c r="K12" t="str">
        <f ca="1">PROPER(Car_Sales[[#This Row],[Dealer_Name]])</f>
        <v>Jeep Nation</v>
      </c>
      <c r="L12" t="s">
        <v>68</v>
      </c>
      <c r="M12" t="str">
        <f ca="1">PROPER(Car_Sales[[#This Row],[Fuel_Type]])</f>
        <v>Gasoline</v>
      </c>
      <c r="N12" t="s">
        <v>605</v>
      </c>
      <c r="O12" t="s">
        <v>70</v>
      </c>
      <c r="P12">
        <v>5000</v>
      </c>
      <c r="Q12">
        <v>2024</v>
      </c>
      <c r="R12" s="4">
        <f ca="1">DATE(LEFT(Car_Sales[[#This Row],[Sales_Date_A]], 4), RIGHT(Car_Sales[[#This Row],[Sales_Date_A]], 2), 1)</f>
        <v>45627</v>
      </c>
      <c r="S12" s="4">
        <v>45646</v>
      </c>
      <c r="T12" t="s">
        <v>458</v>
      </c>
    </row>
    <row r="13" spans="1:20">
      <c r="A13" t="s">
        <v>90</v>
      </c>
      <c r="B13" t="s">
        <v>91</v>
      </c>
      <c r="C13" t="s">
        <v>92</v>
      </c>
      <c r="D13" t="str">
        <f ca="1">PROPER(Car_Sales[[#This Row],[Vehicle_Category]])</f>
        <v>Sedan</v>
      </c>
      <c r="E13" t="s">
        <v>43</v>
      </c>
      <c r="F13" t="s">
        <v>87</v>
      </c>
      <c r="G13" s="2">
        <v>89500</v>
      </c>
      <c r="H13" s="3" t="str">
        <f ca="1">SUBSTITUTE(Car_Sales[[#This Row],[Sale_Price_Segment]], "K", "000")</f>
        <v>$60000-$89.9000</v>
      </c>
      <c r="I13" t="s">
        <v>93</v>
      </c>
      <c r="J13" t="s">
        <v>94</v>
      </c>
      <c r="K13" t="str">
        <f ca="1">PROPER(Car_Sales[[#This Row],[Dealer_Name]])</f>
        <v>Tesla Direct</v>
      </c>
      <c r="L13" t="s">
        <v>37</v>
      </c>
      <c r="M13" t="str">
        <f ca="1">PROPER(Car_Sales[[#This Row],[Fuel_Type]])</f>
        <v>Electric</v>
      </c>
      <c r="N13" s="1" t="s">
        <v>620</v>
      </c>
      <c r="O13" t="s">
        <v>54</v>
      </c>
      <c r="P13">
        <v>8000</v>
      </c>
      <c r="Q13">
        <v>2023</v>
      </c>
      <c r="R13" s="4">
        <f ca="1">DATE(LEFT(Car_Sales[[#This Row],[Sales_Date_A]], 4), RIGHT(Car_Sales[[#This Row],[Sales_Date_A]], 2), 1)</f>
        <v>45352</v>
      </c>
      <c r="S13" s="4">
        <v>45371</v>
      </c>
      <c r="T13" t="s">
        <v>31</v>
      </c>
    </row>
    <row r="14" spans="1:20">
      <c r="A14" t="s">
        <v>515</v>
      </c>
      <c r="B14" t="s">
        <v>85</v>
      </c>
      <c r="C14" t="s">
        <v>516</v>
      </c>
      <c r="D14" t="str">
        <f ca="1">PROPER(Car_Sales[[#This Row],[Vehicle_Category]])</f>
        <v>Suv</v>
      </c>
      <c r="E14" t="s">
        <v>65</v>
      </c>
      <c r="F14" t="s">
        <v>87</v>
      </c>
      <c r="G14" s="2">
        <v>83900</v>
      </c>
      <c r="H14" s="3" t="str">
        <f ca="1">SUBSTITUTE(Car_Sales[[#This Row],[Sale_Price_Segment]], "K", "000")</f>
        <v>$60000-$89.9000</v>
      </c>
      <c r="I14" t="s">
        <v>517</v>
      </c>
      <c r="J14" t="s">
        <v>518</v>
      </c>
      <c r="K14" t="str">
        <f ca="1">PROPER(Car_Sales[[#This Row],[Dealer_Name]])</f>
        <v>Bmw Elite</v>
      </c>
      <c r="L14" t="s">
        <v>28</v>
      </c>
      <c r="M14" t="str">
        <f ca="1">PROPER(Car_Sales[[#This Row],[Fuel_Type]])</f>
        <v>Electric</v>
      </c>
      <c r="N14" s="1" t="s">
        <v>620</v>
      </c>
      <c r="O14" t="s">
        <v>39</v>
      </c>
      <c r="P14">
        <v>5000</v>
      </c>
      <c r="Q14">
        <v>2024</v>
      </c>
      <c r="R14" s="4">
        <f ca="1">DATE(LEFT(Car_Sales[[#This Row],[Sales_Date_A]], 4), RIGHT(Car_Sales[[#This Row],[Sales_Date_A]], 2), 1)</f>
        <v>45597</v>
      </c>
      <c r="S14" s="4">
        <v>45616</v>
      </c>
      <c r="T14" t="s">
        <v>458</v>
      </c>
    </row>
    <row r="15" spans="1:20">
      <c r="A15" t="s">
        <v>258</v>
      </c>
      <c r="B15" t="s">
        <v>91</v>
      </c>
      <c r="C15" t="s">
        <v>259</v>
      </c>
      <c r="D15" t="str">
        <f ca="1">PROPER(Car_Sales[[#This Row],[Vehicle_Category]])</f>
        <v>Truck</v>
      </c>
      <c r="E15" t="s">
        <v>75</v>
      </c>
      <c r="F15" t="s">
        <v>87</v>
      </c>
      <c r="G15" s="2">
        <v>79900</v>
      </c>
      <c r="H15" s="3" t="str">
        <f ca="1">SUBSTITUTE(Car_Sales[[#This Row],[Sale_Price_Segment]], "K", "000")</f>
        <v>$60000-$89.9000</v>
      </c>
      <c r="I15" t="s">
        <v>260</v>
      </c>
      <c r="J15" t="s">
        <v>261</v>
      </c>
      <c r="K15" t="str">
        <f ca="1">PROPER(Car_Sales[[#This Row],[Dealer_Name]])</f>
        <v>Tesla Direct</v>
      </c>
      <c r="L15" t="s">
        <v>37</v>
      </c>
      <c r="M15" t="str">
        <f ca="1">PROPER(Car_Sales[[#This Row],[Fuel_Type]])</f>
        <v>Electric</v>
      </c>
      <c r="N15" s="1" t="s">
        <v>620</v>
      </c>
      <c r="O15" t="s">
        <v>47</v>
      </c>
      <c r="P15">
        <v>1000</v>
      </c>
      <c r="Q15">
        <v>2024</v>
      </c>
      <c r="R15" s="4">
        <f ca="1">DATE(LEFT(Car_Sales[[#This Row],[Sales_Date_A]], 4), RIGHT(Car_Sales[[#This Row],[Sales_Date_A]], 2), 1)</f>
        <v>45444</v>
      </c>
      <c r="S15" s="4">
        <v>45463</v>
      </c>
      <c r="T15" t="s">
        <v>121</v>
      </c>
    </row>
    <row r="16" spans="1:20">
      <c r="A16" t="s">
        <v>606</v>
      </c>
      <c r="B16" t="s">
        <v>72</v>
      </c>
      <c r="C16" t="s">
        <v>607</v>
      </c>
      <c r="D16" t="str">
        <f ca="1">PROPER(Car_Sales[[#This Row],[Vehicle_Category]])</f>
        <v>Coupe</v>
      </c>
      <c r="E16" t="s">
        <v>591</v>
      </c>
      <c r="F16" t="s">
        <v>25</v>
      </c>
      <c r="G16" s="2">
        <v>79900</v>
      </c>
      <c r="H16" s="3" t="str">
        <f ca="1">SUBSTITUTE(Car_Sales[[#This Row],[Sale_Price_Segment]], "K", "000")</f>
        <v>$60000-$89.9000</v>
      </c>
      <c r="I16" t="s">
        <v>608</v>
      </c>
      <c r="J16" t="s">
        <v>609</v>
      </c>
      <c r="K16" t="str">
        <f ca="1">PROPER(Car_Sales[[#This Row],[Dealer_Name]])</f>
        <v>Ford Country</v>
      </c>
      <c r="L16" t="s">
        <v>78</v>
      </c>
      <c r="M16" t="str">
        <f ca="1">PROPER(Car_Sales[[#This Row],[Fuel_Type]])</f>
        <v>Gasoline</v>
      </c>
      <c r="N16" t="s">
        <v>610</v>
      </c>
      <c r="O16" t="s">
        <v>54</v>
      </c>
      <c r="P16">
        <v>1000</v>
      </c>
      <c r="Q16">
        <v>2024</v>
      </c>
      <c r="R16" s="4">
        <f ca="1">DATE(LEFT(Car_Sales[[#This Row],[Sales_Date_A]], 4), RIGHT(Car_Sales[[#This Row],[Sales_Date_A]], 2), 1)</f>
        <v>45627</v>
      </c>
      <c r="S16" s="4">
        <v>45646</v>
      </c>
      <c r="T16" t="s">
        <v>458</v>
      </c>
    </row>
    <row r="17" spans="1:20">
      <c r="A17" t="s">
        <v>416</v>
      </c>
      <c r="B17" t="s">
        <v>91</v>
      </c>
      <c r="C17" t="s">
        <v>417</v>
      </c>
      <c r="D17" t="str">
        <f ca="1">PROPER(Car_Sales[[#This Row],[Vehicle_Category]])</f>
        <v>Sedan</v>
      </c>
      <c r="E17" t="s">
        <v>43</v>
      </c>
      <c r="F17" t="s">
        <v>87</v>
      </c>
      <c r="G17" s="2">
        <v>74900</v>
      </c>
      <c r="H17" s="3" t="str">
        <f ca="1">SUBSTITUTE(Car_Sales[[#This Row],[Sale_Price_Segment]], "K", "000")</f>
        <v>$60000-$89.9000</v>
      </c>
      <c r="I17" t="s">
        <v>418</v>
      </c>
      <c r="J17" t="s">
        <v>419</v>
      </c>
      <c r="K17" t="str">
        <f ca="1">PROPER(Car_Sales[[#This Row],[Dealer_Name]])</f>
        <v>Tesla Direct</v>
      </c>
      <c r="L17" t="s">
        <v>37</v>
      </c>
      <c r="M17" t="str">
        <f ca="1">PROPER(Car_Sales[[#This Row],[Fuel_Type]])</f>
        <v>Electric</v>
      </c>
      <c r="N17" s="1" t="s">
        <v>620</v>
      </c>
      <c r="O17" t="s">
        <v>39</v>
      </c>
      <c r="P17">
        <v>3000</v>
      </c>
      <c r="Q17">
        <v>2024</v>
      </c>
      <c r="R17" s="4">
        <f ca="1">DATE(LEFT(Car_Sales[[#This Row],[Sales_Date_A]], 4), RIGHT(Car_Sales[[#This Row],[Sales_Date_A]], 2), 1)</f>
        <v>45536</v>
      </c>
      <c r="S17" s="4">
        <v>45555</v>
      </c>
      <c r="T17" t="s">
        <v>266</v>
      </c>
    </row>
    <row r="18" spans="1:20">
      <c r="A18" t="s">
        <v>597</v>
      </c>
      <c r="B18" t="s">
        <v>49</v>
      </c>
      <c r="C18" t="s">
        <v>598</v>
      </c>
      <c r="D18" t="str">
        <f ca="1">PROPER(Car_Sales[[#This Row],[Vehicle_Category]])</f>
        <v>Sedan</v>
      </c>
      <c r="E18" t="s">
        <v>43</v>
      </c>
      <c r="F18" t="s">
        <v>25</v>
      </c>
      <c r="G18" s="2">
        <v>74900</v>
      </c>
      <c r="H18" s="3" t="str">
        <f ca="1">SUBSTITUTE(Car_Sales[[#This Row],[Sale_Price_Segment]], "K", "000")</f>
        <v>$60000-$89.9000</v>
      </c>
      <c r="I18" t="s">
        <v>599</v>
      </c>
      <c r="J18" t="s">
        <v>600</v>
      </c>
      <c r="K18" t="str">
        <f ca="1">PROPER(Car_Sales[[#This Row],[Dealer_Name]])</f>
        <v>Hyundai Plus</v>
      </c>
      <c r="L18" t="s">
        <v>37</v>
      </c>
      <c r="M18" t="str">
        <f ca="1">PROPER(Car_Sales[[#This Row],[Fuel_Type]])</f>
        <v>Gasoline</v>
      </c>
      <c r="N18" t="s">
        <v>217</v>
      </c>
      <c r="O18" t="s">
        <v>47</v>
      </c>
      <c r="P18">
        <v>3500</v>
      </c>
      <c r="Q18">
        <v>2024</v>
      </c>
      <c r="R18" s="4">
        <f ca="1">DATE(LEFT(Car_Sales[[#This Row],[Sales_Date_A]], 4), RIGHT(Car_Sales[[#This Row],[Sales_Date_A]], 2), 1)</f>
        <v>45627</v>
      </c>
      <c r="S18" s="4">
        <v>45646</v>
      </c>
      <c r="T18" t="s">
        <v>458</v>
      </c>
    </row>
    <row r="19" spans="1:20">
      <c r="A19" t="s">
        <v>581</v>
      </c>
      <c r="B19" t="s">
        <v>85</v>
      </c>
      <c r="C19" t="s">
        <v>582</v>
      </c>
      <c r="D19" t="str">
        <f ca="1">PROPER(Car_Sales[[#This Row],[Vehicle_Category]])</f>
        <v>Sedan</v>
      </c>
      <c r="E19" t="s">
        <v>43</v>
      </c>
      <c r="F19" t="s">
        <v>87</v>
      </c>
      <c r="G19" s="2">
        <v>69900</v>
      </c>
      <c r="H19" s="3" t="str">
        <f ca="1">SUBSTITUTE(Car_Sales[[#This Row],[Sale_Price_Segment]], "K", "000")</f>
        <v>$60000-$89.9000</v>
      </c>
      <c r="I19" t="s">
        <v>583</v>
      </c>
      <c r="J19" t="s">
        <v>584</v>
      </c>
      <c r="K19" t="str">
        <f ca="1">PROPER(Car_Sales[[#This Row],[Dealer_Name]])</f>
        <v>Bmw Elite</v>
      </c>
      <c r="L19" t="s">
        <v>28</v>
      </c>
      <c r="M19" t="str">
        <f ca="1">PROPER(Car_Sales[[#This Row],[Fuel_Type]])</f>
        <v>Gasoline</v>
      </c>
      <c r="N19" t="s">
        <v>126</v>
      </c>
      <c r="O19" t="s">
        <v>39</v>
      </c>
      <c r="P19">
        <v>6000</v>
      </c>
      <c r="Q19">
        <v>2023</v>
      </c>
      <c r="R19" s="4">
        <f ca="1">DATE(LEFT(Car_Sales[[#This Row],[Sales_Date_A]], 4), RIGHT(Car_Sales[[#This Row],[Sales_Date_A]], 2), 1)</f>
        <v>45627</v>
      </c>
      <c r="S19" s="4">
        <v>45646</v>
      </c>
      <c r="T19" t="s">
        <v>458</v>
      </c>
    </row>
    <row r="20" spans="1:20">
      <c r="A20" t="s">
        <v>543</v>
      </c>
      <c r="B20" t="s">
        <v>81</v>
      </c>
      <c r="C20" t="s">
        <v>544</v>
      </c>
      <c r="D20" t="str">
        <f ca="1">PROPER(Car_Sales[[#This Row],[Vehicle_Category]])</f>
        <v>Coupe</v>
      </c>
      <c r="E20" t="s">
        <v>225</v>
      </c>
      <c r="F20" t="s">
        <v>25</v>
      </c>
      <c r="G20" s="2">
        <v>65900</v>
      </c>
      <c r="H20" s="3" t="str">
        <f ca="1">SUBSTITUTE(Car_Sales[[#This Row],[Sale_Price_Segment]], "K", "000")</f>
        <v>$60000-$89.9000</v>
      </c>
      <c r="I20" t="s">
        <v>545</v>
      </c>
      <c r="J20" t="s">
        <v>546</v>
      </c>
      <c r="K20" t="str">
        <f ca="1">PROPER(Car_Sales[[#This Row],[Dealer_Name]])</f>
        <v>Chevy World</v>
      </c>
      <c r="L20" t="s">
        <v>78</v>
      </c>
      <c r="M20" t="str">
        <f ca="1">PROPER(Car_Sales[[#This Row],[Fuel_Type]])</f>
        <v>Gasoline</v>
      </c>
      <c r="N20" t="s">
        <v>547</v>
      </c>
      <c r="O20" t="s">
        <v>54</v>
      </c>
      <c r="P20">
        <v>7000</v>
      </c>
      <c r="Q20">
        <v>2023</v>
      </c>
      <c r="R20" s="4">
        <f ca="1">DATE(LEFT(Car_Sales[[#This Row],[Sales_Date_A]], 4), RIGHT(Car_Sales[[#This Row],[Sales_Date_A]], 2), 1)</f>
        <v>45597</v>
      </c>
      <c r="S20" s="4">
        <v>45616</v>
      </c>
      <c r="T20" t="s">
        <v>458</v>
      </c>
    </row>
    <row r="21" spans="1:20">
      <c r="A21" t="s">
        <v>483</v>
      </c>
      <c r="B21" t="s">
        <v>91</v>
      </c>
      <c r="C21" t="s">
        <v>484</v>
      </c>
      <c r="D21" t="str">
        <f ca="1">PROPER(Car_Sales[[#This Row],[Vehicle_Category]])</f>
        <v>Sedan</v>
      </c>
      <c r="E21" t="s">
        <v>43</v>
      </c>
      <c r="F21" t="s">
        <v>87</v>
      </c>
      <c r="G21" s="2">
        <v>64900</v>
      </c>
      <c r="H21" s="3" t="str">
        <f ca="1">SUBSTITUTE(Car_Sales[[#This Row],[Sale_Price_Segment]], "K", "000")</f>
        <v>$60000-$89.9000</v>
      </c>
      <c r="I21" t="s">
        <v>485</v>
      </c>
      <c r="J21" t="s">
        <v>486</v>
      </c>
      <c r="K21" t="str">
        <f ca="1">PROPER(Car_Sales[[#This Row],[Dealer_Name]])</f>
        <v>Tesla Direct</v>
      </c>
      <c r="L21" t="s">
        <v>37</v>
      </c>
      <c r="M21" t="str">
        <f ca="1">PROPER(Car_Sales[[#This Row],[Fuel_Type]])</f>
        <v>Electric</v>
      </c>
      <c r="N21" s="1" t="s">
        <v>620</v>
      </c>
      <c r="O21" t="s">
        <v>47</v>
      </c>
      <c r="P21">
        <v>2500</v>
      </c>
      <c r="Q21">
        <v>2024</v>
      </c>
      <c r="R21" s="4">
        <f ca="1">DATE(LEFT(Car_Sales[[#This Row],[Sales_Date_A]], 4), RIGHT(Car_Sales[[#This Row],[Sales_Date_A]], 2), 1)</f>
        <v>45566</v>
      </c>
      <c r="S21" s="4">
        <v>45585</v>
      </c>
      <c r="T21" t="s">
        <v>458</v>
      </c>
    </row>
    <row r="22" spans="1:20">
      <c r="A22" t="s">
        <v>380</v>
      </c>
      <c r="B22" t="s">
        <v>81</v>
      </c>
      <c r="C22" t="s">
        <v>381</v>
      </c>
      <c r="D22" t="str">
        <f ca="1">PROPER(Car_Sales[[#This Row],[Vehicle_Category]])</f>
        <v>Suv</v>
      </c>
      <c r="E22" t="s">
        <v>65</v>
      </c>
      <c r="F22" t="s">
        <v>25</v>
      </c>
      <c r="G22" s="2">
        <v>62900</v>
      </c>
      <c r="H22" s="3" t="str">
        <f ca="1">SUBSTITUTE(Car_Sales[[#This Row],[Sale_Price_Segment]], "K", "000")</f>
        <v>$60000-$89.9000</v>
      </c>
      <c r="I22" t="s">
        <v>382</v>
      </c>
      <c r="J22" t="s">
        <v>383</v>
      </c>
      <c r="K22" t="str">
        <f ca="1">PROPER(Car_Sales[[#This Row],[Dealer_Name]])</f>
        <v>Chevy World</v>
      </c>
      <c r="L22" t="s">
        <v>78</v>
      </c>
      <c r="M22" t="str">
        <f ca="1">PROPER(Car_Sales[[#This Row],[Fuel_Type]])</f>
        <v>Gasoline</v>
      </c>
      <c r="N22" t="s">
        <v>319</v>
      </c>
      <c r="O22" t="s">
        <v>39</v>
      </c>
      <c r="P22">
        <v>23000</v>
      </c>
      <c r="Q22">
        <v>2021</v>
      </c>
      <c r="R22" s="4">
        <f ca="1">DATE(LEFT(Car_Sales[[#This Row],[Sales_Date_A]], 4), RIGHT(Car_Sales[[#This Row],[Sales_Date_A]], 2), 1)</f>
        <v>45505</v>
      </c>
      <c r="S22" s="4">
        <v>45524</v>
      </c>
      <c r="T22" t="s">
        <v>266</v>
      </c>
    </row>
    <row r="23" spans="1:20">
      <c r="A23" t="s">
        <v>611</v>
      </c>
      <c r="B23" t="s">
        <v>81</v>
      </c>
      <c r="C23" t="s">
        <v>612</v>
      </c>
      <c r="D23" t="str">
        <f ca="1">PROPER(Car_Sales[[#This Row],[Vehicle_Category]])</f>
        <v>Coupe</v>
      </c>
      <c r="E23" t="s">
        <v>591</v>
      </c>
      <c r="F23" t="s">
        <v>25</v>
      </c>
      <c r="G23" s="2">
        <v>62900</v>
      </c>
      <c r="H23" s="3" t="str">
        <f ca="1">SUBSTITUTE(Car_Sales[[#This Row],[Sale_Price_Segment]], "K", "000")</f>
        <v>$60000-$89.9000</v>
      </c>
      <c r="I23" t="s">
        <v>613</v>
      </c>
      <c r="J23" t="s">
        <v>614</v>
      </c>
      <c r="K23" t="str">
        <f ca="1">PROPER(Car_Sales[[#This Row],[Dealer_Name]])</f>
        <v>Chevy World</v>
      </c>
      <c r="L23" t="s">
        <v>78</v>
      </c>
      <c r="M23" t="str">
        <f ca="1">PROPER(Car_Sales[[#This Row],[Fuel_Type]])</f>
        <v>Gasoline</v>
      </c>
      <c r="N23" t="s">
        <v>547</v>
      </c>
      <c r="O23" t="s">
        <v>361</v>
      </c>
      <c r="P23">
        <v>1500</v>
      </c>
      <c r="Q23">
        <v>2024</v>
      </c>
      <c r="R23" s="4">
        <f ca="1">DATE(LEFT(Car_Sales[[#This Row],[Sales_Date_A]], 4), RIGHT(Car_Sales[[#This Row],[Sales_Date_A]], 2), 1)</f>
        <v>45627</v>
      </c>
      <c r="S23" s="4">
        <v>45646</v>
      </c>
      <c r="T23" t="s">
        <v>458</v>
      </c>
    </row>
    <row r="24" spans="1:20">
      <c r="A24" t="s">
        <v>568</v>
      </c>
      <c r="B24" t="s">
        <v>63</v>
      </c>
      <c r="C24" t="s">
        <v>569</v>
      </c>
      <c r="D24" t="str">
        <f ca="1">PROPER(Car_Sales[[#This Row],[Vehicle_Category]])</f>
        <v>Suv</v>
      </c>
      <c r="E24" t="s">
        <v>65</v>
      </c>
      <c r="F24" t="s">
        <v>25</v>
      </c>
      <c r="G24" s="2">
        <v>61900</v>
      </c>
      <c r="H24" s="3" t="str">
        <f ca="1">SUBSTITUTE(Car_Sales[[#This Row],[Sale_Price_Segment]], "K", "000")</f>
        <v>$60000-$89.9000</v>
      </c>
      <c r="I24" t="s">
        <v>570</v>
      </c>
      <c r="J24" t="s">
        <v>571</v>
      </c>
      <c r="K24" t="str">
        <f ca="1">PROPER(Car_Sales[[#This Row],[Dealer_Name]])</f>
        <v>Jeep Nation</v>
      </c>
      <c r="L24" t="s">
        <v>68</v>
      </c>
      <c r="M24" t="str">
        <f ca="1">PROPER(Car_Sales[[#This Row],[Fuel_Type]])</f>
        <v>Gasoline</v>
      </c>
      <c r="N24" t="s">
        <v>301</v>
      </c>
      <c r="O24" t="s">
        <v>61</v>
      </c>
      <c r="P24">
        <v>8000</v>
      </c>
      <c r="Q24">
        <v>2023</v>
      </c>
      <c r="R24" s="4">
        <f ca="1">DATE(LEFT(Car_Sales[[#This Row],[Sales_Date_A]], 4), RIGHT(Car_Sales[[#This Row],[Sales_Date_A]], 2), 1)</f>
        <v>45597</v>
      </c>
      <c r="S24" s="4">
        <v>45616</v>
      </c>
      <c r="T24" t="s">
        <v>458</v>
      </c>
    </row>
    <row r="25" spans="1:20">
      <c r="A25" t="s">
        <v>122</v>
      </c>
      <c r="B25" t="s">
        <v>85</v>
      </c>
      <c r="C25" t="s">
        <v>123</v>
      </c>
      <c r="D25" t="str">
        <f ca="1">PROPER(Car_Sales[[#This Row],[Vehicle_Category]])</f>
        <v>Suv</v>
      </c>
      <c r="E25" t="s">
        <v>65</v>
      </c>
      <c r="F25" t="s">
        <v>87</v>
      </c>
      <c r="G25" s="2">
        <v>59900</v>
      </c>
      <c r="H25" s="3" t="str">
        <f ca="1">SUBSTITUTE(Car_Sales[[#This Row],[Sale_Price_Segment]], "K", "000")</f>
        <v>$40000-$59.9000</v>
      </c>
      <c r="I25" t="s">
        <v>124</v>
      </c>
      <c r="J25" t="s">
        <v>125</v>
      </c>
      <c r="K25" t="str">
        <f ca="1">PROPER(Car_Sales[[#This Row],[Dealer_Name]])</f>
        <v>Bmw Elite</v>
      </c>
      <c r="L25" t="s">
        <v>28</v>
      </c>
      <c r="M25" t="str">
        <f ca="1">PROPER(Car_Sales[[#This Row],[Fuel_Type]])</f>
        <v>Gasoline</v>
      </c>
      <c r="N25" t="s">
        <v>126</v>
      </c>
      <c r="O25" t="s">
        <v>70</v>
      </c>
      <c r="P25">
        <v>32000</v>
      </c>
      <c r="Q25">
        <v>2020</v>
      </c>
      <c r="R25" s="4">
        <f ca="1">DATE(LEFT(Car_Sales[[#This Row],[Sales_Date_A]], 4), RIGHT(Car_Sales[[#This Row],[Sales_Date_A]], 2), 1)</f>
        <v>45383</v>
      </c>
      <c r="S25" s="4">
        <v>45402</v>
      </c>
      <c r="T25" t="s">
        <v>121</v>
      </c>
    </row>
    <row r="26" spans="1:20">
      <c r="A26" t="s">
        <v>163</v>
      </c>
      <c r="B26" t="s">
        <v>91</v>
      </c>
      <c r="C26" t="s">
        <v>164</v>
      </c>
      <c r="D26" t="str">
        <f ca="1">PROPER(Car_Sales[[#This Row],[Vehicle_Category]])</f>
        <v>Suv</v>
      </c>
      <c r="E26" t="s">
        <v>65</v>
      </c>
      <c r="F26" t="s">
        <v>87</v>
      </c>
      <c r="G26" s="2">
        <v>58900</v>
      </c>
      <c r="H26" s="3" t="str">
        <f ca="1">SUBSTITUTE(Car_Sales[[#This Row],[Sale_Price_Segment]], "K", "000")</f>
        <v>$40000-$59.9000</v>
      </c>
      <c r="I26" t="s">
        <v>165</v>
      </c>
      <c r="J26" t="s">
        <v>115</v>
      </c>
      <c r="K26" t="str">
        <f ca="1">PROPER(Car_Sales[[#This Row],[Dealer_Name]])</f>
        <v>Tesla Direct</v>
      </c>
      <c r="L26" t="s">
        <v>37</v>
      </c>
      <c r="M26" t="str">
        <f ca="1">PROPER(Car_Sales[[#This Row],[Fuel_Type]])</f>
        <v>Electric</v>
      </c>
      <c r="N26" s="1" t="s">
        <v>620</v>
      </c>
      <c r="O26" t="s">
        <v>70</v>
      </c>
      <c r="P26">
        <v>6000</v>
      </c>
      <c r="Q26">
        <v>2024</v>
      </c>
      <c r="R26" s="4">
        <f ca="1">DATE(LEFT(Car_Sales[[#This Row],[Sales_Date_A]], 4), RIGHT(Car_Sales[[#This Row],[Sales_Date_A]], 2), 1)</f>
        <v>45413</v>
      </c>
      <c r="S26" s="4">
        <v>45432</v>
      </c>
      <c r="T26" t="s">
        <v>121</v>
      </c>
    </row>
    <row r="27" spans="1:20">
      <c r="A27" t="s">
        <v>315</v>
      </c>
      <c r="B27" t="s">
        <v>81</v>
      </c>
      <c r="C27" t="s">
        <v>316</v>
      </c>
      <c r="D27" t="str">
        <f ca="1">PROPER(Car_Sales[[#This Row],[Vehicle_Category]])</f>
        <v>Suv</v>
      </c>
      <c r="E27" t="s">
        <v>65</v>
      </c>
      <c r="F27" t="s">
        <v>25</v>
      </c>
      <c r="G27" s="2">
        <v>58900</v>
      </c>
      <c r="H27" s="3" t="str">
        <f ca="1">SUBSTITUTE(Car_Sales[[#This Row],[Sale_Price_Segment]], "K", "000")</f>
        <v>$40000-$59.9000</v>
      </c>
      <c r="I27" t="s">
        <v>317</v>
      </c>
      <c r="J27" t="s">
        <v>318</v>
      </c>
      <c r="K27" t="str">
        <f ca="1">PROPER(Car_Sales[[#This Row],[Dealer_Name]])</f>
        <v>Chevy World</v>
      </c>
      <c r="L27" t="s">
        <v>78</v>
      </c>
      <c r="M27" t="str">
        <f ca="1">PROPER(Car_Sales[[#This Row],[Fuel_Type]])</f>
        <v>Gasoline</v>
      </c>
      <c r="N27" t="s">
        <v>319</v>
      </c>
      <c r="O27" t="s">
        <v>70</v>
      </c>
      <c r="P27">
        <v>25000</v>
      </c>
      <c r="Q27">
        <v>2020</v>
      </c>
      <c r="R27" s="4">
        <f ca="1">DATE(LEFT(Car_Sales[[#This Row],[Sales_Date_A]], 4), RIGHT(Car_Sales[[#This Row],[Sales_Date_A]], 2), 1)</f>
        <v>45474</v>
      </c>
      <c r="S27" s="4">
        <v>45493</v>
      </c>
      <c r="T27" t="s">
        <v>266</v>
      </c>
    </row>
    <row r="28" spans="1:20">
      <c r="A28" t="s">
        <v>491</v>
      </c>
      <c r="B28" t="s">
        <v>33</v>
      </c>
      <c r="C28" t="s">
        <v>492</v>
      </c>
      <c r="D28" t="str">
        <f ca="1">PROPER(Car_Sales[[#This Row],[Vehicle_Category]])</f>
        <v>Sedan</v>
      </c>
      <c r="E28" t="s">
        <v>43</v>
      </c>
      <c r="F28" t="s">
        <v>25</v>
      </c>
      <c r="G28" s="2">
        <v>58500</v>
      </c>
      <c r="H28" s="3" t="str">
        <f ca="1">SUBSTITUTE(Car_Sales[[#This Row],[Sale_Price_Segment]], "K", "000")</f>
        <v>$40000-$59.9000</v>
      </c>
      <c r="I28" t="s">
        <v>493</v>
      </c>
      <c r="J28" t="s">
        <v>494</v>
      </c>
      <c r="K28" t="str">
        <f ca="1">PROPER(Car_Sales[[#This Row],[Dealer_Name]])</f>
        <v>Toyota Center</v>
      </c>
      <c r="L28" t="s">
        <v>37</v>
      </c>
      <c r="M28" t="str">
        <f ca="1">PROPER(Car_Sales[[#This Row],[Fuel_Type]])</f>
        <v>Hydrogen</v>
      </c>
      <c r="N28" s="1" t="s">
        <v>620</v>
      </c>
      <c r="O28" t="s">
        <v>30</v>
      </c>
      <c r="P28">
        <v>5000</v>
      </c>
      <c r="Q28">
        <v>2024</v>
      </c>
      <c r="R28" s="4">
        <f ca="1">DATE(LEFT(Car_Sales[[#This Row],[Sales_Date_A]], 4), RIGHT(Car_Sales[[#This Row],[Sales_Date_A]], 2), 1)</f>
        <v>45566</v>
      </c>
      <c r="S28" s="4">
        <v>45585</v>
      </c>
      <c r="T28" t="s">
        <v>458</v>
      </c>
    </row>
    <row r="29" spans="1:20">
      <c r="A29" t="s">
        <v>297</v>
      </c>
      <c r="B29" t="s">
        <v>33</v>
      </c>
      <c r="C29" t="s">
        <v>298</v>
      </c>
      <c r="D29" t="str">
        <f ca="1">PROPER(Car_Sales[[#This Row],[Vehicle_Category]])</f>
        <v>Suv</v>
      </c>
      <c r="E29" t="s">
        <v>65</v>
      </c>
      <c r="F29" t="s">
        <v>25</v>
      </c>
      <c r="G29" s="2">
        <v>56900</v>
      </c>
      <c r="H29" s="3" t="str">
        <f ca="1">SUBSTITUTE(Car_Sales[[#This Row],[Sale_Price_Segment]], "K", "000")</f>
        <v>$40000-$59.9000</v>
      </c>
      <c r="I29" t="s">
        <v>299</v>
      </c>
      <c r="J29" t="s">
        <v>300</v>
      </c>
      <c r="K29" t="str">
        <f ca="1">PROPER(Car_Sales[[#This Row],[Dealer_Name]])</f>
        <v>Toyota Center</v>
      </c>
      <c r="L29" t="s">
        <v>37</v>
      </c>
      <c r="M29" t="str">
        <f ca="1">PROPER(Car_Sales[[#This Row],[Fuel_Type]])</f>
        <v>Gasoline</v>
      </c>
      <c r="N29" t="s">
        <v>301</v>
      </c>
      <c r="O29" t="s">
        <v>61</v>
      </c>
      <c r="P29">
        <v>28000</v>
      </c>
      <c r="Q29">
        <v>2019</v>
      </c>
      <c r="R29" s="4">
        <f ca="1">DATE(LEFT(Car_Sales[[#This Row],[Sales_Date_A]], 4), RIGHT(Car_Sales[[#This Row],[Sales_Date_A]], 2), 1)</f>
        <v>45474</v>
      </c>
      <c r="S29" s="4">
        <v>45493</v>
      </c>
      <c r="T29" t="s">
        <v>266</v>
      </c>
    </row>
    <row r="30" spans="1:20">
      <c r="A30" t="s">
        <v>507</v>
      </c>
      <c r="B30" t="s">
        <v>72</v>
      </c>
      <c r="C30" t="s">
        <v>508</v>
      </c>
      <c r="D30" t="str">
        <f ca="1">PROPER(Car_Sales[[#This Row],[Vehicle_Category]])</f>
        <v>Truck</v>
      </c>
      <c r="E30" t="s">
        <v>75</v>
      </c>
      <c r="F30" t="s">
        <v>25</v>
      </c>
      <c r="G30" s="2">
        <v>55900</v>
      </c>
      <c r="H30" s="3" t="str">
        <f ca="1">SUBSTITUTE(Car_Sales[[#This Row],[Sale_Price_Segment]], "K", "000")</f>
        <v>$40000-$59.9000</v>
      </c>
      <c r="I30" t="s">
        <v>509</v>
      </c>
      <c r="J30" t="s">
        <v>510</v>
      </c>
      <c r="K30" t="str">
        <f ca="1">PROPER(Car_Sales[[#This Row],[Dealer_Name]])</f>
        <v>Ford Country</v>
      </c>
      <c r="L30" t="s">
        <v>78</v>
      </c>
      <c r="M30" t="str">
        <f ca="1">PROPER(Car_Sales[[#This Row],[Fuel_Type]])</f>
        <v>Electric</v>
      </c>
      <c r="N30" s="1" t="s">
        <v>620</v>
      </c>
      <c r="O30" t="s">
        <v>30</v>
      </c>
      <c r="P30">
        <v>4000</v>
      </c>
      <c r="Q30">
        <v>2024</v>
      </c>
      <c r="R30" s="4">
        <f ca="1">DATE(LEFT(Car_Sales[[#This Row],[Sales_Date_A]], 4), RIGHT(Car_Sales[[#This Row],[Sales_Date_A]], 2), 1)</f>
        <v>45566</v>
      </c>
      <c r="S30" s="4">
        <v>45585</v>
      </c>
      <c r="T30" t="s">
        <v>458</v>
      </c>
    </row>
    <row r="31" spans="1:20">
      <c r="A31" t="s">
        <v>127</v>
      </c>
      <c r="B31" t="s">
        <v>91</v>
      </c>
      <c r="C31" t="s">
        <v>128</v>
      </c>
      <c r="D31" t="str">
        <f ca="1">PROPER(Car_Sales[[#This Row],[Vehicle_Category]])</f>
        <v>Sedan</v>
      </c>
      <c r="E31" t="s">
        <v>43</v>
      </c>
      <c r="F31" t="s">
        <v>87</v>
      </c>
      <c r="G31" s="2">
        <v>52900</v>
      </c>
      <c r="H31" s="3" t="str">
        <f ca="1">SUBSTITUTE(Car_Sales[[#This Row],[Sale_Price_Segment]], "K", "000")</f>
        <v>$40000-$59.9000</v>
      </c>
      <c r="I31" t="s">
        <v>129</v>
      </c>
      <c r="J31" t="s">
        <v>130</v>
      </c>
      <c r="K31" t="str">
        <f ca="1">PROPER(Car_Sales[[#This Row],[Dealer_Name]])</f>
        <v>Tesla Direct</v>
      </c>
      <c r="L31" t="s">
        <v>37</v>
      </c>
      <c r="M31" t="str">
        <f ca="1">PROPER(Car_Sales[[#This Row],[Fuel_Type]])</f>
        <v>Electric</v>
      </c>
      <c r="N31" s="1" t="s">
        <v>620</v>
      </c>
      <c r="O31" t="s">
        <v>39</v>
      </c>
      <c r="P31">
        <v>12000</v>
      </c>
      <c r="Q31">
        <v>2023</v>
      </c>
      <c r="R31" s="4">
        <f ca="1">DATE(LEFT(Car_Sales[[#This Row],[Sales_Date_A]], 4), RIGHT(Car_Sales[[#This Row],[Sales_Date_A]], 2), 1)</f>
        <v>45383</v>
      </c>
      <c r="S31" s="4">
        <v>45402</v>
      </c>
      <c r="T31" t="s">
        <v>121</v>
      </c>
    </row>
    <row r="32" spans="1:20">
      <c r="A32" t="s">
        <v>589</v>
      </c>
      <c r="B32" t="s">
        <v>33</v>
      </c>
      <c r="C32" t="s">
        <v>590</v>
      </c>
      <c r="D32" t="str">
        <f ca="1">PROPER(Car_Sales[[#This Row],[Vehicle_Category]])</f>
        <v>Coupe</v>
      </c>
      <c r="E32" t="s">
        <v>591</v>
      </c>
      <c r="F32" t="s">
        <v>25</v>
      </c>
      <c r="G32" s="2">
        <v>51900</v>
      </c>
      <c r="H32" s="3" t="str">
        <f ca="1">SUBSTITUTE(Car_Sales[[#This Row],[Sale_Price_Segment]], "K", "000")</f>
        <v>$40000-$59.9000</v>
      </c>
      <c r="I32" t="s">
        <v>592</v>
      </c>
      <c r="J32" t="s">
        <v>141</v>
      </c>
      <c r="K32" t="str">
        <f ca="1">PROPER(Car_Sales[[#This Row],[Dealer_Name]])</f>
        <v>Toyota Center</v>
      </c>
      <c r="L32" t="s">
        <v>37</v>
      </c>
      <c r="M32" t="str">
        <f ca="1">PROPER(Car_Sales[[#This Row],[Fuel_Type]])</f>
        <v>Gasoline</v>
      </c>
      <c r="N32" t="s">
        <v>126</v>
      </c>
      <c r="O32" t="s">
        <v>30</v>
      </c>
      <c r="P32">
        <v>3000</v>
      </c>
      <c r="Q32">
        <v>2024</v>
      </c>
      <c r="R32" s="4">
        <f ca="1">DATE(LEFT(Car_Sales[[#This Row],[Sales_Date_A]], 4), RIGHT(Car_Sales[[#This Row],[Sales_Date_A]], 2), 1)</f>
        <v>45627</v>
      </c>
      <c r="S32" s="4">
        <v>45646</v>
      </c>
      <c r="T32" t="s">
        <v>458</v>
      </c>
    </row>
    <row r="33" spans="1:20">
      <c r="A33" t="s">
        <v>302</v>
      </c>
      <c r="B33" t="s">
        <v>41</v>
      </c>
      <c r="C33" t="s">
        <v>303</v>
      </c>
      <c r="D33" t="str">
        <f ca="1">PROPER(Car_Sales[[#This Row],[Vehicle_Category]])</f>
        <v>Suv</v>
      </c>
      <c r="E33" t="s">
        <v>65</v>
      </c>
      <c r="F33" t="s">
        <v>25</v>
      </c>
      <c r="G33" s="2">
        <v>51200</v>
      </c>
      <c r="H33" s="3" t="str">
        <f ca="1">SUBSTITUTE(Car_Sales[[#This Row],[Sale_Price_Segment]], "K", "000")</f>
        <v>$40000-$59.9000</v>
      </c>
      <c r="I33" t="s">
        <v>304</v>
      </c>
      <c r="J33" t="s">
        <v>305</v>
      </c>
      <c r="K33" t="str">
        <f ca="1">PROPER(Car_Sales[[#This Row],[Dealer_Name]])</f>
        <v>Nissan Direct</v>
      </c>
      <c r="L33" t="s">
        <v>68</v>
      </c>
      <c r="M33" t="str">
        <f ca="1">PROPER(Car_Sales[[#This Row],[Fuel_Type]])</f>
        <v>Gasoline</v>
      </c>
      <c r="N33" t="s">
        <v>248</v>
      </c>
      <c r="O33" t="s">
        <v>30</v>
      </c>
      <c r="P33">
        <v>30000</v>
      </c>
      <c r="Q33">
        <v>2020</v>
      </c>
      <c r="R33" s="4">
        <f ca="1">DATE(LEFT(Car_Sales[[#This Row],[Sales_Date_A]], 4), RIGHT(Car_Sales[[#This Row],[Sales_Date_A]], 2), 1)</f>
        <v>45474</v>
      </c>
      <c r="S33" s="4">
        <v>45493</v>
      </c>
      <c r="T33" t="s">
        <v>266</v>
      </c>
    </row>
    <row r="34" spans="1:20">
      <c r="A34" t="s">
        <v>230</v>
      </c>
      <c r="B34" t="s">
        <v>85</v>
      </c>
      <c r="C34" t="s">
        <v>231</v>
      </c>
      <c r="D34" t="str">
        <f ca="1">PROPER(Car_Sales[[#This Row],[Vehicle_Category]])</f>
        <v>Coupe</v>
      </c>
      <c r="E34" t="s">
        <v>232</v>
      </c>
      <c r="F34" t="s">
        <v>87</v>
      </c>
      <c r="G34" s="2">
        <v>49900</v>
      </c>
      <c r="H34" s="3" t="str">
        <f ca="1">SUBSTITUTE(Car_Sales[[#This Row],[Sale_Price_Segment]], "K", "000")</f>
        <v>$40000-$59.9000</v>
      </c>
      <c r="I34" t="s">
        <v>233</v>
      </c>
      <c r="J34" t="s">
        <v>234</v>
      </c>
      <c r="K34" t="str">
        <f ca="1">PROPER(Car_Sales[[#This Row],[Dealer_Name]])</f>
        <v>Bmw Elite</v>
      </c>
      <c r="L34" t="s">
        <v>28</v>
      </c>
      <c r="M34" t="str">
        <f ca="1">PROPER(Car_Sales[[#This Row],[Fuel_Type]])</f>
        <v>Gasoline</v>
      </c>
      <c r="N34" t="s">
        <v>53</v>
      </c>
      <c r="O34" t="s">
        <v>61</v>
      </c>
      <c r="P34">
        <v>15000</v>
      </c>
      <c r="Q34">
        <v>2022</v>
      </c>
      <c r="R34" s="4">
        <f ca="1">DATE(LEFT(Car_Sales[[#This Row],[Sales_Date_A]], 4), RIGHT(Car_Sales[[#This Row],[Sales_Date_A]], 2), 1)</f>
        <v>45444</v>
      </c>
      <c r="S34" s="4">
        <v>45463</v>
      </c>
      <c r="T34" t="s">
        <v>121</v>
      </c>
    </row>
    <row r="35" spans="1:20">
      <c r="A35" t="s">
        <v>213</v>
      </c>
      <c r="B35" t="s">
        <v>49</v>
      </c>
      <c r="C35" t="s">
        <v>214</v>
      </c>
      <c r="D35" t="str">
        <f ca="1">PROPER(Car_Sales[[#This Row],[Vehicle_Category]])</f>
        <v>Sedan</v>
      </c>
      <c r="E35" t="s">
        <v>43</v>
      </c>
      <c r="F35" t="s">
        <v>25</v>
      </c>
      <c r="G35" s="2">
        <v>48900</v>
      </c>
      <c r="H35" s="3" t="str">
        <f ca="1">SUBSTITUTE(Car_Sales[[#This Row],[Sale_Price_Segment]], "K", "000")</f>
        <v>$40000-$59.9000</v>
      </c>
      <c r="I35" t="s">
        <v>215</v>
      </c>
      <c r="J35" t="s">
        <v>216</v>
      </c>
      <c r="K35" t="str">
        <f ca="1">PROPER(Car_Sales[[#This Row],[Dealer_Name]])</f>
        <v>Hyundai Plus</v>
      </c>
      <c r="L35" t="s">
        <v>37</v>
      </c>
      <c r="M35" t="str">
        <f ca="1">PROPER(Car_Sales[[#This Row],[Fuel_Type]])</f>
        <v>Gasoline</v>
      </c>
      <c r="N35" t="s">
        <v>217</v>
      </c>
      <c r="O35" t="s">
        <v>30</v>
      </c>
      <c r="P35">
        <v>14000</v>
      </c>
      <c r="Q35">
        <v>2023</v>
      </c>
      <c r="R35" s="4">
        <f ca="1">DATE(LEFT(Car_Sales[[#This Row],[Sales_Date_A]], 4), RIGHT(Car_Sales[[#This Row],[Sales_Date_A]], 2), 1)</f>
        <v>45444</v>
      </c>
      <c r="S35" s="4">
        <v>45463</v>
      </c>
      <c r="T35" t="s">
        <v>121</v>
      </c>
    </row>
    <row r="36" spans="1:20">
      <c r="A36" t="s">
        <v>519</v>
      </c>
      <c r="B36" t="s">
        <v>21</v>
      </c>
      <c r="C36" t="s">
        <v>520</v>
      </c>
      <c r="D36" t="str">
        <f ca="1">PROPER(Car_Sales[[#This Row],[Vehicle_Category]])</f>
        <v>Suv</v>
      </c>
      <c r="E36" t="s">
        <v>65</v>
      </c>
      <c r="F36" t="s">
        <v>25</v>
      </c>
      <c r="G36" s="2">
        <v>47900</v>
      </c>
      <c r="H36" s="3" t="str">
        <f ca="1">SUBSTITUTE(Car_Sales[[#This Row],[Sale_Price_Segment]], "K", "000")</f>
        <v>$40000-$59.9000</v>
      </c>
      <c r="I36" t="s">
        <v>521</v>
      </c>
      <c r="J36" t="s">
        <v>522</v>
      </c>
      <c r="K36" t="str">
        <f ca="1">PROPER(Car_Sales[[#This Row],[Dealer_Name]])</f>
        <v>Metro Honda</v>
      </c>
      <c r="L36" t="s">
        <v>28</v>
      </c>
      <c r="M36" t="str">
        <f ca="1">PROPER(Car_Sales[[#This Row],[Fuel_Type]])</f>
        <v>Electric</v>
      </c>
      <c r="N36" s="1" t="s">
        <v>620</v>
      </c>
      <c r="O36" t="s">
        <v>47</v>
      </c>
      <c r="P36">
        <v>3000</v>
      </c>
      <c r="Q36">
        <v>2024</v>
      </c>
      <c r="R36" s="4">
        <f ca="1">DATE(LEFT(Car_Sales[[#This Row],[Sales_Date_A]], 4), RIGHT(Car_Sales[[#This Row],[Sales_Date_A]], 2), 1)</f>
        <v>45597</v>
      </c>
      <c r="S36" s="4">
        <v>45616</v>
      </c>
      <c r="T36" t="s">
        <v>458</v>
      </c>
    </row>
    <row r="37" spans="1:20">
      <c r="A37" t="s">
        <v>535</v>
      </c>
      <c r="B37" t="s">
        <v>63</v>
      </c>
      <c r="C37" t="s">
        <v>536</v>
      </c>
      <c r="D37" t="str">
        <f ca="1">PROPER(Car_Sales[[#This Row],[Vehicle_Category]])</f>
        <v>Suv</v>
      </c>
      <c r="E37" t="s">
        <v>65</v>
      </c>
      <c r="F37" t="s">
        <v>25</v>
      </c>
      <c r="G37" s="2">
        <v>47800</v>
      </c>
      <c r="H37" s="3" t="str">
        <f ca="1">SUBSTITUTE(Car_Sales[[#This Row],[Sale_Price_Segment]], "K", "000")</f>
        <v>$40000-$59.9000</v>
      </c>
      <c r="I37" t="s">
        <v>537</v>
      </c>
      <c r="J37" t="s">
        <v>538</v>
      </c>
      <c r="K37" t="str">
        <f ca="1">PROPER(Car_Sales[[#This Row],[Dealer_Name]])</f>
        <v>Jeep Nation</v>
      </c>
      <c r="L37" t="s">
        <v>68</v>
      </c>
      <c r="M37" t="str">
        <f ca="1">PROPER(Car_Sales[[#This Row],[Fuel_Type]])</f>
        <v>Gasoline</v>
      </c>
      <c r="N37" t="s">
        <v>69</v>
      </c>
      <c r="O37" t="s">
        <v>70</v>
      </c>
      <c r="P37">
        <v>12000</v>
      </c>
      <c r="Q37">
        <v>2023</v>
      </c>
      <c r="R37" s="4">
        <f ca="1">DATE(LEFT(Car_Sales[[#This Row],[Sales_Date_A]], 4), RIGHT(Car_Sales[[#This Row],[Sales_Date_A]], 2), 1)</f>
        <v>45597</v>
      </c>
      <c r="S37" s="4">
        <v>45616</v>
      </c>
      <c r="T37" t="s">
        <v>458</v>
      </c>
    </row>
    <row r="38" spans="1:20">
      <c r="A38" t="s">
        <v>306</v>
      </c>
      <c r="B38" t="s">
        <v>49</v>
      </c>
      <c r="C38" t="s">
        <v>307</v>
      </c>
      <c r="D38" t="str">
        <f ca="1">PROPER(Car_Sales[[#This Row],[Vehicle_Category]])</f>
        <v>Suv</v>
      </c>
      <c r="E38" t="s">
        <v>65</v>
      </c>
      <c r="F38" t="s">
        <v>25</v>
      </c>
      <c r="G38" s="2">
        <v>47500</v>
      </c>
      <c r="H38" s="3" t="str">
        <f ca="1">SUBSTITUTE(Car_Sales[[#This Row],[Sale_Price_Segment]], "K", "000")</f>
        <v>$40000-$59.9000</v>
      </c>
      <c r="I38" t="s">
        <v>308</v>
      </c>
      <c r="J38" t="s">
        <v>309</v>
      </c>
      <c r="K38" t="str">
        <f ca="1">PROPER(Car_Sales[[#This Row],[Dealer_Name]])</f>
        <v>Hyundai Plus</v>
      </c>
      <c r="L38" t="s">
        <v>37</v>
      </c>
      <c r="M38" t="str">
        <f ca="1">PROPER(Car_Sales[[#This Row],[Fuel_Type]])</f>
        <v>Gasoline</v>
      </c>
      <c r="N38" t="s">
        <v>310</v>
      </c>
      <c r="O38" t="s">
        <v>39</v>
      </c>
      <c r="P38">
        <v>16000</v>
      </c>
      <c r="Q38">
        <v>2022</v>
      </c>
      <c r="R38" s="4">
        <f ca="1">DATE(LEFT(Car_Sales[[#This Row],[Sales_Date_A]], 4), RIGHT(Car_Sales[[#This Row],[Sales_Date_A]], 2), 1)</f>
        <v>45474</v>
      </c>
      <c r="S38" s="4">
        <v>45493</v>
      </c>
      <c r="T38" t="s">
        <v>266</v>
      </c>
    </row>
    <row r="39" spans="1:20">
      <c r="A39" t="s">
        <v>84</v>
      </c>
      <c r="B39" t="s">
        <v>85</v>
      </c>
      <c r="C39" t="s">
        <v>86</v>
      </c>
      <c r="D39" t="str">
        <f ca="1">PROPER(Car_Sales[[#This Row],[Vehicle_Category]])</f>
        <v>Suv</v>
      </c>
      <c r="E39" t="s">
        <v>65</v>
      </c>
      <c r="F39" t="s">
        <v>87</v>
      </c>
      <c r="G39" s="2">
        <v>45900</v>
      </c>
      <c r="H39" s="3" t="str">
        <f ca="1">SUBSTITUTE(Car_Sales[[#This Row],[Sale_Price_Segment]], "K", "000")</f>
        <v>$40000-$59.9000</v>
      </c>
      <c r="I39" t="s">
        <v>88</v>
      </c>
      <c r="J39" t="s">
        <v>89</v>
      </c>
      <c r="K39" t="str">
        <f ca="1">PROPER(Car_Sales[[#This Row],[Dealer_Name]])</f>
        <v>Bmw Elite</v>
      </c>
      <c r="L39" t="s">
        <v>28</v>
      </c>
      <c r="M39" t="str">
        <f ca="1">PROPER(Car_Sales[[#This Row],[Fuel_Type]])</f>
        <v>Gasoline</v>
      </c>
      <c r="N39" t="s">
        <v>53</v>
      </c>
      <c r="O39" t="s">
        <v>61</v>
      </c>
      <c r="P39">
        <v>24000</v>
      </c>
      <c r="Q39">
        <v>2021</v>
      </c>
      <c r="R39" s="4">
        <f ca="1">DATE(LEFT(Car_Sales[[#This Row],[Sales_Date_A]], 4), RIGHT(Car_Sales[[#This Row],[Sales_Date_A]], 2), 1)</f>
        <v>45352</v>
      </c>
      <c r="S39" s="4">
        <v>45371</v>
      </c>
      <c r="T39" t="s">
        <v>31</v>
      </c>
    </row>
    <row r="40" spans="1:20">
      <c r="A40" t="s">
        <v>503</v>
      </c>
      <c r="B40" t="s">
        <v>63</v>
      </c>
      <c r="C40" t="s">
        <v>504</v>
      </c>
      <c r="D40" t="str">
        <f ca="1">PROPER(Car_Sales[[#This Row],[Vehicle_Category]])</f>
        <v>Suv</v>
      </c>
      <c r="E40" t="s">
        <v>65</v>
      </c>
      <c r="F40" t="s">
        <v>25</v>
      </c>
      <c r="G40" s="2">
        <v>45900</v>
      </c>
      <c r="H40" s="3" t="str">
        <f ca="1">SUBSTITUTE(Car_Sales[[#This Row],[Sale_Price_Segment]], "K", "000")</f>
        <v>$40000-$59.9000</v>
      </c>
      <c r="I40" t="s">
        <v>505</v>
      </c>
      <c r="J40" t="s">
        <v>506</v>
      </c>
      <c r="K40" t="str">
        <f ca="1">PROPER(Car_Sales[[#This Row],[Dealer_Name]])</f>
        <v>Jeep Nation</v>
      </c>
      <c r="L40" t="s">
        <v>68</v>
      </c>
      <c r="M40" t="str">
        <f ca="1">PROPER(Car_Sales[[#This Row],[Fuel_Type]])</f>
        <v>Hybrid</v>
      </c>
      <c r="N40" t="s">
        <v>53</v>
      </c>
      <c r="O40" t="s">
        <v>61</v>
      </c>
      <c r="P40">
        <v>6000</v>
      </c>
      <c r="Q40">
        <v>2024</v>
      </c>
      <c r="R40" s="4">
        <f ca="1">DATE(LEFT(Car_Sales[[#This Row],[Sales_Date_A]], 4), RIGHT(Car_Sales[[#This Row],[Sales_Date_A]], 2), 1)</f>
        <v>45566</v>
      </c>
      <c r="S40" s="4">
        <v>45585</v>
      </c>
      <c r="T40" t="s">
        <v>458</v>
      </c>
    </row>
    <row r="41" spans="1:20">
      <c r="A41" t="s">
        <v>205</v>
      </c>
      <c r="B41" t="s">
        <v>33</v>
      </c>
      <c r="C41" t="s">
        <v>206</v>
      </c>
      <c r="D41" t="str">
        <f ca="1">PROPER(Car_Sales[[#This Row],[Vehicle_Category]])</f>
        <v>Suv</v>
      </c>
      <c r="E41" t="s">
        <v>65</v>
      </c>
      <c r="F41" t="s">
        <v>25</v>
      </c>
      <c r="G41" s="2">
        <v>44800</v>
      </c>
      <c r="H41" s="3" t="str">
        <f ca="1">SUBSTITUTE(Car_Sales[[#This Row],[Sale_Price_Segment]], "K", "000")</f>
        <v>$40000-$59.9000</v>
      </c>
      <c r="I41" t="s">
        <v>207</v>
      </c>
      <c r="J41" t="s">
        <v>208</v>
      </c>
      <c r="K41" t="str">
        <f ca="1">PROPER(Car_Sales[[#This Row],[Dealer_Name]])</f>
        <v>Toyota Center</v>
      </c>
      <c r="L41" t="s">
        <v>37</v>
      </c>
      <c r="M41" t="str">
        <f ca="1">PROPER(Car_Sales[[#This Row],[Fuel_Type]])</f>
        <v>Gasoline</v>
      </c>
      <c r="N41" t="s">
        <v>204</v>
      </c>
      <c r="O41" t="s">
        <v>70</v>
      </c>
      <c r="P41">
        <v>18000</v>
      </c>
      <c r="Q41">
        <v>2022</v>
      </c>
      <c r="R41" s="4">
        <f ca="1">DATE(LEFT(Car_Sales[[#This Row],[Sales_Date_A]], 4), RIGHT(Car_Sales[[#This Row],[Sales_Date_A]], 2), 1)</f>
        <v>45444</v>
      </c>
      <c r="S41" s="4">
        <v>45463</v>
      </c>
      <c r="T41" t="s">
        <v>121</v>
      </c>
    </row>
    <row r="42" spans="1:20">
      <c r="A42" t="s">
        <v>113</v>
      </c>
      <c r="B42" t="s">
        <v>72</v>
      </c>
      <c r="C42" t="s">
        <v>73</v>
      </c>
      <c r="D42" t="str">
        <f ca="1">PROPER(Car_Sales[[#This Row],[Vehicle_Category]])</f>
        <v>Truck</v>
      </c>
      <c r="E42" t="s">
        <v>75</v>
      </c>
      <c r="F42" t="s">
        <v>25</v>
      </c>
      <c r="G42" s="2">
        <v>44500</v>
      </c>
      <c r="H42" s="3" t="str">
        <f ca="1">SUBSTITUTE(Car_Sales[[#This Row],[Sale_Price_Segment]], "K", "000")</f>
        <v>$40000-$59.9000</v>
      </c>
      <c r="I42" t="s">
        <v>114</v>
      </c>
      <c r="J42" t="s">
        <v>115</v>
      </c>
      <c r="K42" t="str">
        <f ca="1">PROPER(Car_Sales[[#This Row],[Dealer_Name]])</f>
        <v>Ford Country</v>
      </c>
      <c r="L42" t="s">
        <v>78</v>
      </c>
      <c r="M42" t="str">
        <f ca="1">PROPER(Car_Sales[[#This Row],[Fuel_Type]])</f>
        <v>Gasoline</v>
      </c>
      <c r="N42" t="s">
        <v>79</v>
      </c>
      <c r="O42" t="s">
        <v>54</v>
      </c>
      <c r="P42">
        <v>21000</v>
      </c>
      <c r="Q42">
        <v>2021</v>
      </c>
      <c r="R42" s="4">
        <f ca="1">DATE(LEFT(Car_Sales[[#This Row],[Sales_Date_A]], 4), RIGHT(Car_Sales[[#This Row],[Sales_Date_A]], 2), 1)</f>
        <v>45352</v>
      </c>
      <c r="S42" s="4">
        <v>45371</v>
      </c>
      <c r="T42" t="s">
        <v>31</v>
      </c>
    </row>
    <row r="43" spans="1:20">
      <c r="A43" t="s">
        <v>531</v>
      </c>
      <c r="B43" t="s">
        <v>49</v>
      </c>
      <c r="C43" t="s">
        <v>532</v>
      </c>
      <c r="D43" t="str">
        <f ca="1">PROPER(Car_Sales[[#This Row],[Vehicle_Category]])</f>
        <v>Suv</v>
      </c>
      <c r="E43" t="s">
        <v>65</v>
      </c>
      <c r="F43" t="s">
        <v>25</v>
      </c>
      <c r="G43" s="2">
        <v>44500</v>
      </c>
      <c r="H43" s="3" t="str">
        <f ca="1">SUBSTITUTE(Car_Sales[[#This Row],[Sale_Price_Segment]], "K", "000")</f>
        <v>$40000-$59.9000</v>
      </c>
      <c r="I43" t="s">
        <v>533</v>
      </c>
      <c r="J43" t="s">
        <v>534</v>
      </c>
      <c r="K43" t="str">
        <f ca="1">PROPER(Car_Sales[[#This Row],[Dealer_Name]])</f>
        <v>Hyundai Plus</v>
      </c>
      <c r="L43" t="s">
        <v>37</v>
      </c>
      <c r="M43" t="str">
        <f ca="1">PROPER(Car_Sales[[#This Row],[Fuel_Type]])</f>
        <v>Electric</v>
      </c>
      <c r="N43" s="1" t="s">
        <v>620</v>
      </c>
      <c r="O43" t="s">
        <v>39</v>
      </c>
      <c r="P43">
        <v>5500</v>
      </c>
      <c r="Q43">
        <v>2023</v>
      </c>
      <c r="R43" s="4">
        <f ca="1">DATE(LEFT(Car_Sales[[#This Row],[Sales_Date_A]], 4), RIGHT(Car_Sales[[#This Row],[Sales_Date_A]], 2), 1)</f>
        <v>45597</v>
      </c>
      <c r="S43" s="4">
        <v>45616</v>
      </c>
      <c r="T43" t="s">
        <v>458</v>
      </c>
    </row>
    <row r="44" spans="1:20">
      <c r="A44" t="s">
        <v>527</v>
      </c>
      <c r="B44" t="s">
        <v>41</v>
      </c>
      <c r="C44" t="s">
        <v>528</v>
      </c>
      <c r="D44" t="str">
        <f ca="1">PROPER(Car_Sales[[#This Row],[Vehicle_Category]])</f>
        <v>Suv</v>
      </c>
      <c r="E44" t="s">
        <v>65</v>
      </c>
      <c r="F44" t="s">
        <v>25</v>
      </c>
      <c r="G44" s="2">
        <v>43900</v>
      </c>
      <c r="H44" s="3" t="str">
        <f ca="1">SUBSTITUTE(Car_Sales[[#This Row],[Sale_Price_Segment]], "K", "000")</f>
        <v>$40000-$59.9000</v>
      </c>
      <c r="I44" t="s">
        <v>529</v>
      </c>
      <c r="J44" t="s">
        <v>530</v>
      </c>
      <c r="K44" t="str">
        <f ca="1">PROPER(Car_Sales[[#This Row],[Dealer_Name]])</f>
        <v>Nissan Direct</v>
      </c>
      <c r="L44" t="s">
        <v>68</v>
      </c>
      <c r="M44" t="str">
        <f ca="1">PROPER(Car_Sales[[#This Row],[Fuel_Type]])</f>
        <v>Electric</v>
      </c>
      <c r="N44" s="1" t="s">
        <v>620</v>
      </c>
      <c r="O44" t="s">
        <v>61</v>
      </c>
      <c r="P44">
        <v>3500</v>
      </c>
      <c r="Q44">
        <v>2024</v>
      </c>
      <c r="R44" s="4">
        <f ca="1">DATE(LEFT(Car_Sales[[#This Row],[Sales_Date_A]], 4), RIGHT(Car_Sales[[#This Row],[Sales_Date_A]], 2), 1)</f>
        <v>45597</v>
      </c>
      <c r="S44" s="4">
        <v>45616</v>
      </c>
      <c r="T44" t="s">
        <v>458</v>
      </c>
    </row>
    <row r="45" spans="1:20">
      <c r="A45" t="s">
        <v>279</v>
      </c>
      <c r="B45" t="s">
        <v>63</v>
      </c>
      <c r="C45" t="s">
        <v>280</v>
      </c>
      <c r="D45" t="str">
        <f ca="1">PROPER(Car_Sales[[#This Row],[Vehicle_Category]])</f>
        <v>Truck</v>
      </c>
      <c r="E45" t="s">
        <v>75</v>
      </c>
      <c r="F45" t="s">
        <v>25</v>
      </c>
      <c r="G45" s="2">
        <v>43500</v>
      </c>
      <c r="H45" s="3" t="str">
        <f ca="1">SUBSTITUTE(Car_Sales[[#This Row],[Sale_Price_Segment]], "K", "000")</f>
        <v>$40000-$59.9000</v>
      </c>
      <c r="I45" t="s">
        <v>281</v>
      </c>
      <c r="J45" t="s">
        <v>282</v>
      </c>
      <c r="K45" t="str">
        <f ca="1">PROPER(Car_Sales[[#This Row],[Dealer_Name]])</f>
        <v>Jeep Nation</v>
      </c>
      <c r="L45" t="s">
        <v>68</v>
      </c>
      <c r="M45" t="str">
        <f ca="1">PROPER(Car_Sales[[#This Row],[Fuel_Type]])</f>
        <v>Gasoline</v>
      </c>
      <c r="N45" t="s">
        <v>69</v>
      </c>
      <c r="O45" t="s">
        <v>283</v>
      </c>
      <c r="P45">
        <v>11000</v>
      </c>
      <c r="Q45">
        <v>2023</v>
      </c>
      <c r="R45" s="4">
        <f ca="1">DATE(LEFT(Car_Sales[[#This Row],[Sales_Date_A]], 4), RIGHT(Car_Sales[[#This Row],[Sales_Date_A]], 2), 1)</f>
        <v>45474</v>
      </c>
      <c r="S45" s="4">
        <v>45493</v>
      </c>
      <c r="T45" t="s">
        <v>266</v>
      </c>
    </row>
    <row r="46" spans="1:20">
      <c r="A46" t="s">
        <v>160</v>
      </c>
      <c r="B46" t="s">
        <v>85</v>
      </c>
      <c r="C46" t="s">
        <v>161</v>
      </c>
      <c r="D46" t="str">
        <f ca="1">PROPER(Car_Sales[[#This Row],[Vehicle_Category]])</f>
        <v>Sedan</v>
      </c>
      <c r="E46" t="s">
        <v>43</v>
      </c>
      <c r="F46" t="s">
        <v>87</v>
      </c>
      <c r="G46" s="2">
        <v>42900</v>
      </c>
      <c r="H46" s="3" t="str">
        <f ca="1">SUBSTITUTE(Car_Sales[[#This Row],[Sale_Price_Segment]], "K", "000")</f>
        <v>$40000-$59.9000</v>
      </c>
      <c r="I46" t="s">
        <v>162</v>
      </c>
      <c r="J46" t="s">
        <v>112</v>
      </c>
      <c r="K46" t="str">
        <f ca="1">PROPER(Car_Sales[[#This Row],[Dealer_Name]])</f>
        <v>Bmw Elite</v>
      </c>
      <c r="L46" t="s">
        <v>28</v>
      </c>
      <c r="M46" t="str">
        <f ca="1">PROPER(Car_Sales[[#This Row],[Fuel_Type]])</f>
        <v>Gasoline</v>
      </c>
      <c r="N46" t="s">
        <v>53</v>
      </c>
      <c r="O46" t="s">
        <v>61</v>
      </c>
      <c r="P46">
        <v>28000</v>
      </c>
      <c r="Q46">
        <v>2020</v>
      </c>
      <c r="R46" s="4">
        <f ca="1">DATE(LEFT(Car_Sales[[#This Row],[Sales_Date_A]], 4), RIGHT(Car_Sales[[#This Row],[Sales_Date_A]], 2), 1)</f>
        <v>45413</v>
      </c>
      <c r="S46" s="4">
        <v>45432</v>
      </c>
      <c r="T46" t="s">
        <v>121</v>
      </c>
    </row>
    <row r="47" spans="1:20">
      <c r="A47" t="s">
        <v>585</v>
      </c>
      <c r="B47" t="s">
        <v>21</v>
      </c>
      <c r="C47" t="s">
        <v>586</v>
      </c>
      <c r="D47" t="str">
        <f ca="1">PROPER(Car_Sales[[#This Row],[Vehicle_Category]])</f>
        <v>Sedan</v>
      </c>
      <c r="E47" t="s">
        <v>43</v>
      </c>
      <c r="F47" t="s">
        <v>25</v>
      </c>
      <c r="G47" s="2">
        <v>42900</v>
      </c>
      <c r="H47" s="3" t="str">
        <f ca="1">SUBSTITUTE(Car_Sales[[#This Row],[Sale_Price_Segment]], "K", "000")</f>
        <v>$40000-$59.9000</v>
      </c>
      <c r="I47" t="s">
        <v>587</v>
      </c>
      <c r="J47" t="s">
        <v>588</v>
      </c>
      <c r="K47" t="str">
        <f ca="1">PROPER(Car_Sales[[#This Row],[Dealer_Name]])</f>
        <v>Metro Honda</v>
      </c>
      <c r="L47" t="s">
        <v>28</v>
      </c>
      <c r="M47" t="str">
        <f ca="1">PROPER(Car_Sales[[#This Row],[Fuel_Type]])</f>
        <v>Gasoline</v>
      </c>
      <c r="N47" t="s">
        <v>53</v>
      </c>
      <c r="O47" t="s">
        <v>54</v>
      </c>
      <c r="P47">
        <v>4000</v>
      </c>
      <c r="Q47">
        <v>2024</v>
      </c>
      <c r="R47" s="4">
        <f ca="1">DATE(LEFT(Car_Sales[[#This Row],[Sales_Date_A]], 4), RIGHT(Car_Sales[[#This Row],[Sales_Date_A]], 2), 1)</f>
        <v>45627</v>
      </c>
      <c r="S47" s="4">
        <v>45646</v>
      </c>
      <c r="T47" t="s">
        <v>458</v>
      </c>
    </row>
    <row r="48" spans="1:20">
      <c r="A48" t="s">
        <v>200</v>
      </c>
      <c r="B48" t="s">
        <v>21</v>
      </c>
      <c r="C48" t="s">
        <v>201</v>
      </c>
      <c r="D48" t="str">
        <f ca="1">PROPER(Car_Sales[[#This Row],[Vehicle_Category]])</f>
        <v>Suv</v>
      </c>
      <c r="E48" t="s">
        <v>65</v>
      </c>
      <c r="F48" t="s">
        <v>25</v>
      </c>
      <c r="G48" s="2">
        <v>42500</v>
      </c>
      <c r="H48" s="3" t="str">
        <f ca="1">SUBSTITUTE(Car_Sales[[#This Row],[Sale_Price_Segment]], "K", "000")</f>
        <v>$40000-$59.9000</v>
      </c>
      <c r="I48" t="s">
        <v>202</v>
      </c>
      <c r="J48" t="s">
        <v>203</v>
      </c>
      <c r="K48" t="str">
        <f ca="1">PROPER(Car_Sales[[#This Row],[Dealer_Name]])</f>
        <v>Metro Honda</v>
      </c>
      <c r="L48" t="s">
        <v>28</v>
      </c>
      <c r="M48" t="str">
        <f ca="1">PROPER(Car_Sales[[#This Row],[Fuel_Type]])</f>
        <v>Gasoline</v>
      </c>
      <c r="N48" t="s">
        <v>204</v>
      </c>
      <c r="O48" t="s">
        <v>61</v>
      </c>
      <c r="P48">
        <v>23000</v>
      </c>
      <c r="Q48">
        <v>2021</v>
      </c>
      <c r="R48" s="4">
        <f ca="1">DATE(LEFT(Car_Sales[[#This Row],[Sales_Date_A]], 4), RIGHT(Car_Sales[[#This Row],[Sales_Date_A]], 2), 1)</f>
        <v>45413</v>
      </c>
      <c r="S48" s="4">
        <v>45432</v>
      </c>
      <c r="T48" t="s">
        <v>121</v>
      </c>
    </row>
    <row r="49" spans="1:20">
      <c r="A49" t="s">
        <v>523</v>
      </c>
      <c r="B49" t="s">
        <v>33</v>
      </c>
      <c r="C49" t="s">
        <v>524</v>
      </c>
      <c r="D49" t="str">
        <f ca="1">PROPER(Car_Sales[[#This Row],[Vehicle_Category]])</f>
        <v>Suv</v>
      </c>
      <c r="E49" t="s">
        <v>65</v>
      </c>
      <c r="F49" t="s">
        <v>25</v>
      </c>
      <c r="G49" s="2">
        <v>42500</v>
      </c>
      <c r="H49" s="3" t="str">
        <f ca="1">SUBSTITUTE(Car_Sales[[#This Row],[Sale_Price_Segment]], "K", "000")</f>
        <v>$40000-$59.9000</v>
      </c>
      <c r="I49" t="s">
        <v>525</v>
      </c>
      <c r="J49" t="s">
        <v>526</v>
      </c>
      <c r="K49" t="str">
        <f ca="1">PROPER(Car_Sales[[#This Row],[Dealer_Name]])</f>
        <v>Toyota Center</v>
      </c>
      <c r="L49" t="s">
        <v>37</v>
      </c>
      <c r="M49" t="str">
        <f ca="1">PROPER(Car_Sales[[#This Row],[Fuel_Type]])</f>
        <v>Electric</v>
      </c>
      <c r="N49" s="1" t="s">
        <v>620</v>
      </c>
      <c r="O49" t="s">
        <v>30</v>
      </c>
      <c r="P49">
        <v>4500</v>
      </c>
      <c r="Q49">
        <v>2024</v>
      </c>
      <c r="R49" s="4">
        <f ca="1">DATE(LEFT(Car_Sales[[#This Row],[Sales_Date_A]], 4), RIGHT(Car_Sales[[#This Row],[Sales_Date_A]], 2), 1)</f>
        <v>45597</v>
      </c>
      <c r="S49" s="4">
        <v>45616</v>
      </c>
      <c r="T49" t="s">
        <v>458</v>
      </c>
    </row>
    <row r="50" spans="1:20">
      <c r="A50" t="s">
        <v>71</v>
      </c>
      <c r="B50" t="s">
        <v>72</v>
      </c>
      <c r="C50" t="s">
        <v>73</v>
      </c>
      <c r="D50" t="str">
        <f ca="1">PROPER(Car_Sales[[#This Row],[Vehicle_Category]])</f>
        <v>Truck</v>
      </c>
      <c r="E50" t="s">
        <v>75</v>
      </c>
      <c r="F50" t="s">
        <v>25</v>
      </c>
      <c r="G50" s="2">
        <v>42000</v>
      </c>
      <c r="H50" s="3" t="str">
        <f ca="1">SUBSTITUTE(Car_Sales[[#This Row],[Sale_Price_Segment]], "K", "000")</f>
        <v>$40000-$59.9000</v>
      </c>
      <c r="I50" t="s">
        <v>76</v>
      </c>
      <c r="J50" t="s">
        <v>77</v>
      </c>
      <c r="K50" t="str">
        <f ca="1">PROPER(Car_Sales[[#This Row],[Dealer_Name]])</f>
        <v>Ford Country</v>
      </c>
      <c r="L50" t="s">
        <v>78</v>
      </c>
      <c r="M50" t="str">
        <f ca="1">PROPER(Car_Sales[[#This Row],[Fuel_Type]])</f>
        <v>Gasoline</v>
      </c>
      <c r="N50" t="s">
        <v>79</v>
      </c>
      <c r="O50" t="s">
        <v>30</v>
      </c>
      <c r="P50">
        <v>18000</v>
      </c>
      <c r="Q50">
        <v>2021</v>
      </c>
      <c r="R50" s="4">
        <f ca="1">DATE(LEFT(Car_Sales[[#This Row],[Sales_Date_A]], 4), RIGHT(Car_Sales[[#This Row],[Sales_Date_A]], 2), 1)</f>
        <v>45323</v>
      </c>
      <c r="S50" s="4">
        <v>45342</v>
      </c>
      <c r="T50" t="s">
        <v>31</v>
      </c>
    </row>
    <row r="51" spans="1:20">
      <c r="A51" t="s">
        <v>560</v>
      </c>
      <c r="B51" t="s">
        <v>41</v>
      </c>
      <c r="C51" t="s">
        <v>561</v>
      </c>
      <c r="D51" t="str">
        <f ca="1">PROPER(Car_Sales[[#This Row],[Vehicle_Category]])</f>
        <v>Coupe</v>
      </c>
      <c r="E51" t="s">
        <v>225</v>
      </c>
      <c r="F51" t="s">
        <v>25</v>
      </c>
      <c r="G51" s="2">
        <v>41900</v>
      </c>
      <c r="H51" s="3" t="str">
        <f ca="1">SUBSTITUTE(Car_Sales[[#This Row],[Sale_Price_Segment]], "K", "000")</f>
        <v>$40000-$59.9000</v>
      </c>
      <c r="I51" t="s">
        <v>562</v>
      </c>
      <c r="J51" t="s">
        <v>563</v>
      </c>
      <c r="K51" t="str">
        <f ca="1">PROPER(Car_Sales[[#This Row],[Dealer_Name]])</f>
        <v>Nissan Direct</v>
      </c>
      <c r="L51" t="s">
        <v>68</v>
      </c>
      <c r="M51" t="str">
        <f ca="1">PROPER(Car_Sales[[#This Row],[Fuel_Type]])</f>
        <v>Gasoline</v>
      </c>
      <c r="N51" t="s">
        <v>126</v>
      </c>
      <c r="O51" t="s">
        <v>47</v>
      </c>
      <c r="P51">
        <v>4000</v>
      </c>
      <c r="Q51">
        <v>2024</v>
      </c>
      <c r="R51" s="4">
        <f ca="1">DATE(LEFT(Car_Sales[[#This Row],[Sales_Date_A]], 4), RIGHT(Car_Sales[[#This Row],[Sales_Date_A]], 2), 1)</f>
        <v>45597</v>
      </c>
      <c r="S51" s="4">
        <v>45616</v>
      </c>
      <c r="T51" t="s">
        <v>458</v>
      </c>
    </row>
    <row r="52" spans="1:20">
      <c r="A52" t="s">
        <v>110</v>
      </c>
      <c r="B52" t="s">
        <v>63</v>
      </c>
      <c r="C52" t="s">
        <v>64</v>
      </c>
      <c r="D52" t="str">
        <f ca="1">PROPER(Car_Sales[[#This Row],[Vehicle_Category]])</f>
        <v>Suv</v>
      </c>
      <c r="E52" t="s">
        <v>65</v>
      </c>
      <c r="F52" t="s">
        <v>25</v>
      </c>
      <c r="G52" s="2">
        <v>41200</v>
      </c>
      <c r="H52" s="3" t="str">
        <f ca="1">SUBSTITUTE(Car_Sales[[#This Row],[Sale_Price_Segment]], "K", "000")</f>
        <v>$40000-$59.9000</v>
      </c>
      <c r="I52" t="s">
        <v>111</v>
      </c>
      <c r="J52" t="s">
        <v>112</v>
      </c>
      <c r="K52" t="str">
        <f ca="1">PROPER(Car_Sales[[#This Row],[Dealer_Name]])</f>
        <v>Jeep Nation</v>
      </c>
      <c r="L52" t="s">
        <v>68</v>
      </c>
      <c r="M52" t="str">
        <f ca="1">PROPER(Car_Sales[[#This Row],[Fuel_Type]])</f>
        <v>Gasoline</v>
      </c>
      <c r="N52" t="s">
        <v>69</v>
      </c>
      <c r="O52" t="s">
        <v>61</v>
      </c>
      <c r="P52">
        <v>29000</v>
      </c>
      <c r="Q52">
        <v>2020</v>
      </c>
      <c r="R52" s="4">
        <f ca="1">DATE(LEFT(Car_Sales[[#This Row],[Sales_Date_A]], 4), RIGHT(Car_Sales[[#This Row],[Sales_Date_A]], 2), 1)</f>
        <v>45352</v>
      </c>
      <c r="S52" s="4">
        <v>45371</v>
      </c>
      <c r="T52" t="s">
        <v>31</v>
      </c>
    </row>
    <row r="53" spans="1:20">
      <c r="A53" t="s">
        <v>253</v>
      </c>
      <c r="B53" t="s">
        <v>81</v>
      </c>
      <c r="C53" t="s">
        <v>254</v>
      </c>
      <c r="D53" t="str">
        <f ca="1">PROPER(Car_Sales[[#This Row],[Vehicle_Category]])</f>
        <v>Truck</v>
      </c>
      <c r="E53" t="s">
        <v>75</v>
      </c>
      <c r="F53" t="s">
        <v>25</v>
      </c>
      <c r="G53" s="2">
        <v>41200</v>
      </c>
      <c r="H53" s="3" t="str">
        <f ca="1">SUBSTITUTE(Car_Sales[[#This Row],[Sale_Price_Segment]], "K", "000")</f>
        <v>$40000-$59.9000</v>
      </c>
      <c r="I53" t="s">
        <v>255</v>
      </c>
      <c r="J53" t="s">
        <v>256</v>
      </c>
      <c r="K53" t="str">
        <f ca="1">PROPER(Car_Sales[[#This Row],[Dealer_Name]])</f>
        <v>Chevy World</v>
      </c>
      <c r="L53" t="s">
        <v>78</v>
      </c>
      <c r="M53" t="str">
        <f ca="1">PROPER(Car_Sales[[#This Row],[Fuel_Type]])</f>
        <v>Gasoline</v>
      </c>
      <c r="N53" t="s">
        <v>257</v>
      </c>
      <c r="O53" t="s">
        <v>54</v>
      </c>
      <c r="P53">
        <v>22000</v>
      </c>
      <c r="Q53">
        <v>2021</v>
      </c>
      <c r="R53" s="4">
        <f ca="1">DATE(LEFT(Car_Sales[[#This Row],[Sales_Date_A]], 4), RIGHT(Car_Sales[[#This Row],[Sales_Date_A]], 2), 1)</f>
        <v>45444</v>
      </c>
      <c r="S53" s="4">
        <v>45463</v>
      </c>
      <c r="T53" t="s">
        <v>121</v>
      </c>
    </row>
    <row r="54" spans="1:20">
      <c r="A54" t="s">
        <v>384</v>
      </c>
      <c r="B54" t="s">
        <v>85</v>
      </c>
      <c r="C54" t="s">
        <v>385</v>
      </c>
      <c r="D54" t="str">
        <f ca="1">PROPER(Car_Sales[[#This Row],[Vehicle_Category]])</f>
        <v>Sedan</v>
      </c>
      <c r="E54" t="s">
        <v>43</v>
      </c>
      <c r="F54" t="s">
        <v>87</v>
      </c>
      <c r="G54" s="2">
        <v>39900</v>
      </c>
      <c r="H54" s="3" t="str">
        <f ca="1">SUBSTITUTE(Car_Sales[[#This Row],[Sale_Price_Segment]], "K", "000")</f>
        <v>$25000-$39.9000</v>
      </c>
      <c r="I54" t="s">
        <v>386</v>
      </c>
      <c r="J54" t="s">
        <v>387</v>
      </c>
      <c r="K54" t="str">
        <f ca="1">PROPER(Car_Sales[[#This Row],[Dealer_Name]])</f>
        <v>Bmw Elite</v>
      </c>
      <c r="L54" t="s">
        <v>28</v>
      </c>
      <c r="M54" t="str">
        <f ca="1">PROPER(Car_Sales[[#This Row],[Fuel_Type]])</f>
        <v>Electric</v>
      </c>
      <c r="N54" s="1" t="s">
        <v>620</v>
      </c>
      <c r="O54" t="s">
        <v>70</v>
      </c>
      <c r="P54">
        <v>16000</v>
      </c>
      <c r="Q54">
        <v>2022</v>
      </c>
      <c r="R54" s="4">
        <f ca="1">DATE(LEFT(Car_Sales[[#This Row],[Sales_Date_A]], 4), RIGHT(Car_Sales[[#This Row],[Sales_Date_A]], 2), 1)</f>
        <v>45505</v>
      </c>
      <c r="S54" s="4">
        <v>45524</v>
      </c>
      <c r="T54" t="s">
        <v>266</v>
      </c>
    </row>
    <row r="55" spans="1:20">
      <c r="A55" t="s">
        <v>235</v>
      </c>
      <c r="B55" t="s">
        <v>21</v>
      </c>
      <c r="C55" t="s">
        <v>236</v>
      </c>
      <c r="D55" t="str">
        <f ca="1">PROPER(Car_Sales[[#This Row],[Vehicle_Category]])</f>
        <v>Truck</v>
      </c>
      <c r="E55" t="s">
        <v>75</v>
      </c>
      <c r="F55" t="s">
        <v>25</v>
      </c>
      <c r="G55" s="2">
        <v>39800</v>
      </c>
      <c r="H55" s="3" t="str">
        <f ca="1">SUBSTITUTE(Car_Sales[[#This Row],[Sale_Price_Segment]], "K", "000")</f>
        <v>$25000-$39.9000</v>
      </c>
      <c r="I55" t="s">
        <v>237</v>
      </c>
      <c r="J55" t="s">
        <v>238</v>
      </c>
      <c r="K55" t="str">
        <f ca="1">PROPER(Car_Sales[[#This Row],[Dealer_Name]])</f>
        <v>Metro Honda</v>
      </c>
      <c r="L55" t="s">
        <v>28</v>
      </c>
      <c r="M55" t="str">
        <f ca="1">PROPER(Car_Sales[[#This Row],[Fuel_Type]])</f>
        <v>Gasoline</v>
      </c>
      <c r="N55" t="s">
        <v>204</v>
      </c>
      <c r="O55" t="s">
        <v>39</v>
      </c>
      <c r="P55">
        <v>19000</v>
      </c>
      <c r="Q55">
        <v>2021</v>
      </c>
      <c r="R55" s="4">
        <f ca="1">DATE(LEFT(Car_Sales[[#This Row],[Sales_Date_A]], 4), RIGHT(Car_Sales[[#This Row],[Sales_Date_A]], 2), 1)</f>
        <v>45444</v>
      </c>
      <c r="S55" s="4">
        <v>45463</v>
      </c>
      <c r="T55" t="s">
        <v>121</v>
      </c>
    </row>
    <row r="56" spans="1:20">
      <c r="A56" t="s">
        <v>189</v>
      </c>
      <c r="B56" t="s">
        <v>81</v>
      </c>
      <c r="C56" t="s">
        <v>190</v>
      </c>
      <c r="D56" t="str">
        <f ca="1">PROPER(Car_Sales[[#This Row],[Vehicle_Category]])</f>
        <v>Suv</v>
      </c>
      <c r="E56" t="s">
        <v>65</v>
      </c>
      <c r="F56" t="s">
        <v>25</v>
      </c>
      <c r="G56" s="2">
        <v>39500</v>
      </c>
      <c r="H56" s="3" t="str">
        <f ca="1">SUBSTITUTE(Car_Sales[[#This Row],[Sale_Price_Segment]], "K", "000")</f>
        <v>$25000-$39.9000</v>
      </c>
      <c r="I56" t="s">
        <v>191</v>
      </c>
      <c r="J56" t="s">
        <v>67</v>
      </c>
      <c r="K56" t="str">
        <f ca="1">PROPER(Car_Sales[[#This Row],[Dealer_Name]])</f>
        <v>Chevy World</v>
      </c>
      <c r="L56" t="s">
        <v>78</v>
      </c>
      <c r="M56" t="str">
        <f ca="1">PROPER(Car_Sales[[#This Row],[Fuel_Type]])</f>
        <v>Gasoline</v>
      </c>
      <c r="N56" t="s">
        <v>69</v>
      </c>
      <c r="O56" t="s">
        <v>30</v>
      </c>
      <c r="P56">
        <v>26000</v>
      </c>
      <c r="Q56">
        <v>2020</v>
      </c>
      <c r="R56" s="4">
        <f ca="1">DATE(LEFT(Car_Sales[[#This Row],[Sales_Date_A]], 4), RIGHT(Car_Sales[[#This Row],[Sales_Date_A]], 2), 1)</f>
        <v>45413</v>
      </c>
      <c r="S56" s="4">
        <v>45432</v>
      </c>
      <c r="T56" t="s">
        <v>121</v>
      </c>
    </row>
    <row r="57" spans="1:20">
      <c r="A57" t="s">
        <v>267</v>
      </c>
      <c r="B57" t="s">
        <v>33</v>
      </c>
      <c r="C57" t="s">
        <v>268</v>
      </c>
      <c r="D57" t="str">
        <f ca="1">PROPER(Car_Sales[[#This Row],[Vehicle_Category]])</f>
        <v>Sedan</v>
      </c>
      <c r="E57" t="s">
        <v>43</v>
      </c>
      <c r="F57" t="s">
        <v>25</v>
      </c>
      <c r="G57" s="2">
        <v>39500</v>
      </c>
      <c r="H57" s="3" t="str">
        <f ca="1">SUBSTITUTE(Car_Sales[[#This Row],[Sale_Price_Segment]], "K", "000")</f>
        <v>$25000-$39.9000</v>
      </c>
      <c r="I57" t="s">
        <v>269</v>
      </c>
      <c r="J57" t="s">
        <v>270</v>
      </c>
      <c r="K57" t="str">
        <f ca="1">PROPER(Car_Sales[[#This Row],[Dealer_Name]])</f>
        <v>Toyota Center</v>
      </c>
      <c r="L57" t="s">
        <v>37</v>
      </c>
      <c r="M57" t="str">
        <f ca="1">PROPER(Car_Sales[[#This Row],[Fuel_Type]])</f>
        <v>Gasoline</v>
      </c>
      <c r="N57" t="s">
        <v>204</v>
      </c>
      <c r="O57" t="s">
        <v>61</v>
      </c>
      <c r="P57">
        <v>17000</v>
      </c>
      <c r="Q57">
        <v>2021</v>
      </c>
      <c r="R57" s="4">
        <f ca="1">DATE(LEFT(Car_Sales[[#This Row],[Sales_Date_A]], 4), RIGHT(Car_Sales[[#This Row],[Sales_Date_A]], 2), 1)</f>
        <v>45474</v>
      </c>
      <c r="S57" s="4">
        <v>45493</v>
      </c>
      <c r="T57" t="s">
        <v>266</v>
      </c>
    </row>
    <row r="58" spans="1:20">
      <c r="A58" t="s">
        <v>330</v>
      </c>
      <c r="B58" t="s">
        <v>33</v>
      </c>
      <c r="C58" t="s">
        <v>331</v>
      </c>
      <c r="D58" t="str">
        <f ca="1">PROPER(Car_Sales[[#This Row],[Vehicle_Category]])</f>
        <v>Van</v>
      </c>
      <c r="E58" t="s">
        <v>327</v>
      </c>
      <c r="F58" t="s">
        <v>25</v>
      </c>
      <c r="G58" s="2">
        <v>39500</v>
      </c>
      <c r="H58" s="3" t="str">
        <f ca="1">SUBSTITUTE(Car_Sales[[#This Row],[Sale_Price_Segment]], "K", "000")</f>
        <v>$25000-$39.9000</v>
      </c>
      <c r="I58" t="s">
        <v>332</v>
      </c>
      <c r="J58" t="s">
        <v>333</v>
      </c>
      <c r="K58" t="str">
        <f ca="1">PROPER(Car_Sales[[#This Row],[Dealer_Name]])</f>
        <v>Toyota Center</v>
      </c>
      <c r="L58" t="s">
        <v>37</v>
      </c>
      <c r="M58" t="str">
        <f ca="1">PROPER(Car_Sales[[#This Row],[Fuel_Type]])</f>
        <v>Hybrid</v>
      </c>
      <c r="N58" t="s">
        <v>46</v>
      </c>
      <c r="O58" t="s">
        <v>39</v>
      </c>
      <c r="P58">
        <v>15000</v>
      </c>
      <c r="Q58">
        <v>2022</v>
      </c>
      <c r="R58" s="4">
        <f ca="1">DATE(LEFT(Car_Sales[[#This Row],[Sales_Date_A]], 4), RIGHT(Car_Sales[[#This Row],[Sales_Date_A]], 2), 1)</f>
        <v>45505</v>
      </c>
      <c r="S58" s="4">
        <v>45524</v>
      </c>
      <c r="T58" t="s">
        <v>266</v>
      </c>
    </row>
    <row r="59" spans="1:20">
      <c r="A59" t="s">
        <v>62</v>
      </c>
      <c r="B59" t="s">
        <v>63</v>
      </c>
      <c r="C59" t="s">
        <v>64</v>
      </c>
      <c r="D59" t="str">
        <f ca="1">PROPER(Car_Sales[[#This Row],[Vehicle_Category]])</f>
        <v>Suv</v>
      </c>
      <c r="E59" t="s">
        <v>65</v>
      </c>
      <c r="F59" t="s">
        <v>25</v>
      </c>
      <c r="G59" s="2">
        <v>38900</v>
      </c>
      <c r="H59" s="3" t="str">
        <f ca="1">SUBSTITUTE(Car_Sales[[#This Row],[Sale_Price_Segment]], "K", "000")</f>
        <v>$25000-$39.9000</v>
      </c>
      <c r="I59" t="s">
        <v>66</v>
      </c>
      <c r="J59" t="s">
        <v>67</v>
      </c>
      <c r="K59" t="str">
        <f ca="1">PROPER(Car_Sales[[#This Row],[Dealer_Name]])</f>
        <v>Jeep Nation</v>
      </c>
      <c r="L59" t="s">
        <v>68</v>
      </c>
      <c r="M59" t="str">
        <f ca="1">PROPER(Car_Sales[[#This Row],[Fuel_Type]])</f>
        <v>Gasoline</v>
      </c>
      <c r="N59" t="s">
        <v>69</v>
      </c>
      <c r="O59" t="s">
        <v>70</v>
      </c>
      <c r="P59">
        <v>35000</v>
      </c>
      <c r="Q59">
        <v>2020</v>
      </c>
      <c r="R59" s="4">
        <f ca="1">DATE(LEFT(Car_Sales[[#This Row],[Sales_Date_A]], 4), RIGHT(Car_Sales[[#This Row],[Sales_Date_A]], 2), 1)</f>
        <v>45323</v>
      </c>
      <c r="S59" s="4">
        <v>45342</v>
      </c>
      <c r="T59" t="s">
        <v>31</v>
      </c>
    </row>
    <row r="60" spans="1:20">
      <c r="A60" t="s">
        <v>146</v>
      </c>
      <c r="B60" t="s">
        <v>63</v>
      </c>
      <c r="C60" t="s">
        <v>147</v>
      </c>
      <c r="D60" t="str">
        <f ca="1">PROPER(Car_Sales[[#This Row],[Vehicle_Category]])</f>
        <v>Suv</v>
      </c>
      <c r="E60" t="s">
        <v>65</v>
      </c>
      <c r="F60" t="s">
        <v>25</v>
      </c>
      <c r="G60" s="2">
        <v>38900</v>
      </c>
      <c r="H60" s="3" t="str">
        <f ca="1">SUBSTITUTE(Car_Sales[[#This Row],[Sale_Price_Segment]], "K", "000")</f>
        <v>$25000-$39.9000</v>
      </c>
      <c r="I60" t="s">
        <v>148</v>
      </c>
      <c r="J60" t="s">
        <v>149</v>
      </c>
      <c r="K60" t="str">
        <f ca="1">PROPER(Car_Sales[[#This Row],[Dealer_Name]])</f>
        <v>Jeep Nation</v>
      </c>
      <c r="L60" t="s">
        <v>68</v>
      </c>
      <c r="M60" t="str">
        <f ca="1">PROPER(Car_Sales[[#This Row],[Fuel_Type]])</f>
        <v>Gasoline</v>
      </c>
      <c r="N60" t="s">
        <v>69</v>
      </c>
      <c r="O60" t="s">
        <v>150</v>
      </c>
      <c r="P60">
        <v>15000</v>
      </c>
      <c r="Q60">
        <v>2022</v>
      </c>
      <c r="R60" s="4">
        <f ca="1">DATE(LEFT(Car_Sales[[#This Row],[Sales_Date_A]], 4), RIGHT(Car_Sales[[#This Row],[Sales_Date_A]], 2), 1)</f>
        <v>45383</v>
      </c>
      <c r="S60" s="4">
        <v>45402</v>
      </c>
      <c r="T60" t="s">
        <v>121</v>
      </c>
    </row>
    <row r="61" spans="1:20">
      <c r="A61" t="s">
        <v>192</v>
      </c>
      <c r="B61" t="s">
        <v>85</v>
      </c>
      <c r="C61" t="s">
        <v>193</v>
      </c>
      <c r="D61" t="str">
        <f ca="1">PROPER(Car_Sales[[#This Row],[Vehicle_Category]])</f>
        <v>Suv</v>
      </c>
      <c r="E61" t="s">
        <v>65</v>
      </c>
      <c r="F61" t="s">
        <v>87</v>
      </c>
      <c r="G61" s="2">
        <v>38900</v>
      </c>
      <c r="H61" s="3" t="str">
        <f ca="1">SUBSTITUTE(Car_Sales[[#This Row],[Sale_Price_Segment]], "K", "000")</f>
        <v>$25000-$39.9000</v>
      </c>
      <c r="I61" t="s">
        <v>194</v>
      </c>
      <c r="J61" t="s">
        <v>195</v>
      </c>
      <c r="K61" t="str">
        <f ca="1">PROPER(Car_Sales[[#This Row],[Dealer_Name]])</f>
        <v>Bmw Elite</v>
      </c>
      <c r="L61" t="s">
        <v>28</v>
      </c>
      <c r="M61" t="str">
        <f ca="1">PROPER(Car_Sales[[#This Row],[Fuel_Type]])</f>
        <v>Gasoline</v>
      </c>
      <c r="N61" t="s">
        <v>53</v>
      </c>
      <c r="O61" t="s">
        <v>47</v>
      </c>
      <c r="P61">
        <v>21000</v>
      </c>
      <c r="Q61">
        <v>2021</v>
      </c>
      <c r="R61" s="4">
        <f ca="1">DATE(LEFT(Car_Sales[[#This Row],[Sales_Date_A]], 4), RIGHT(Car_Sales[[#This Row],[Sales_Date_A]], 2), 1)</f>
        <v>45413</v>
      </c>
      <c r="S61" s="4">
        <v>45432</v>
      </c>
      <c r="T61" t="s">
        <v>121</v>
      </c>
    </row>
    <row r="62" spans="1:20">
      <c r="A62" t="s">
        <v>311</v>
      </c>
      <c r="B62" t="s">
        <v>72</v>
      </c>
      <c r="C62" t="s">
        <v>312</v>
      </c>
      <c r="D62" t="str">
        <f ca="1">PROPER(Car_Sales[[#This Row],[Vehicle_Category]])</f>
        <v>Suv</v>
      </c>
      <c r="E62" t="s">
        <v>65</v>
      </c>
      <c r="F62" t="s">
        <v>25</v>
      </c>
      <c r="G62" s="2">
        <v>38900</v>
      </c>
      <c r="H62" s="3" t="str">
        <f ca="1">SUBSTITUTE(Car_Sales[[#This Row],[Sale_Price_Segment]], "K", "000")</f>
        <v>$25000-$39.9000</v>
      </c>
      <c r="I62" t="s">
        <v>313</v>
      </c>
      <c r="J62" t="s">
        <v>314</v>
      </c>
      <c r="K62" t="str">
        <f ca="1">PROPER(Car_Sales[[#This Row],[Dealer_Name]])</f>
        <v>Ford Country</v>
      </c>
      <c r="L62" t="s">
        <v>78</v>
      </c>
      <c r="M62" t="str">
        <f ca="1">PROPER(Car_Sales[[#This Row],[Fuel_Type]])</f>
        <v>Gasoline</v>
      </c>
      <c r="N62" t="s">
        <v>155</v>
      </c>
      <c r="O62" t="s">
        <v>150</v>
      </c>
      <c r="P62">
        <v>9000</v>
      </c>
      <c r="Q62">
        <v>2023</v>
      </c>
      <c r="R62" s="4">
        <f ca="1">DATE(LEFT(Car_Sales[[#This Row],[Sales_Date_A]], 4), RIGHT(Car_Sales[[#This Row],[Sales_Date_A]], 2), 1)</f>
        <v>45474</v>
      </c>
      <c r="S62" s="4">
        <v>45493</v>
      </c>
      <c r="T62" t="s">
        <v>266</v>
      </c>
    </row>
    <row r="63" spans="1:20">
      <c r="A63" t="s">
        <v>396</v>
      </c>
      <c r="B63" t="s">
        <v>41</v>
      </c>
      <c r="C63" t="s">
        <v>397</v>
      </c>
      <c r="D63" t="str">
        <f ca="1">PROPER(Car_Sales[[#This Row],[Vehicle_Category]])</f>
        <v>Suv</v>
      </c>
      <c r="E63" t="s">
        <v>65</v>
      </c>
      <c r="F63" t="s">
        <v>25</v>
      </c>
      <c r="G63" s="2">
        <v>38500</v>
      </c>
      <c r="H63" s="3" t="str">
        <f ca="1">SUBSTITUTE(Car_Sales[[#This Row],[Sale_Price_Segment]], "K", "000")</f>
        <v>$25000-$39.9000</v>
      </c>
      <c r="I63" t="s">
        <v>398</v>
      </c>
      <c r="J63" t="s">
        <v>399</v>
      </c>
      <c r="K63" t="str">
        <f ca="1">PROPER(Car_Sales[[#This Row],[Dealer_Name]])</f>
        <v>Nissan Direct</v>
      </c>
      <c r="L63" t="s">
        <v>68</v>
      </c>
      <c r="M63" t="str">
        <f ca="1">PROPER(Car_Sales[[#This Row],[Fuel_Type]])</f>
        <v>Gasoline</v>
      </c>
      <c r="N63" t="s">
        <v>204</v>
      </c>
      <c r="O63" t="s">
        <v>54</v>
      </c>
      <c r="P63">
        <v>26000</v>
      </c>
      <c r="Q63">
        <v>2020</v>
      </c>
      <c r="R63" s="4">
        <f ca="1">DATE(LEFT(Car_Sales[[#This Row],[Sales_Date_A]], 4), RIGHT(Car_Sales[[#This Row],[Sales_Date_A]], 2), 1)</f>
        <v>45536</v>
      </c>
      <c r="S63" s="4">
        <v>45555</v>
      </c>
      <c r="T63" t="s">
        <v>266</v>
      </c>
    </row>
    <row r="64" spans="1:20">
      <c r="A64" t="s">
        <v>244</v>
      </c>
      <c r="B64" t="s">
        <v>41</v>
      </c>
      <c r="C64" t="s">
        <v>245</v>
      </c>
      <c r="D64" t="str">
        <f ca="1">PROPER(Car_Sales[[#This Row],[Vehicle_Category]])</f>
        <v>Truck</v>
      </c>
      <c r="E64" t="s">
        <v>75</v>
      </c>
      <c r="F64" t="s">
        <v>25</v>
      </c>
      <c r="G64" s="2">
        <v>37900</v>
      </c>
      <c r="H64" s="3" t="str">
        <f ca="1">SUBSTITUTE(Car_Sales[[#This Row],[Sale_Price_Segment]], "K", "000")</f>
        <v>$25000-$39.9000</v>
      </c>
      <c r="I64" t="s">
        <v>246</v>
      </c>
      <c r="J64" t="s">
        <v>247</v>
      </c>
      <c r="K64" t="str">
        <f ca="1">PROPER(Car_Sales[[#This Row],[Dealer_Name]])</f>
        <v>Nissan Direct</v>
      </c>
      <c r="L64" t="s">
        <v>68</v>
      </c>
      <c r="M64" t="str">
        <f ca="1">PROPER(Car_Sales[[#This Row],[Fuel_Type]])</f>
        <v>Gasoline</v>
      </c>
      <c r="N64" t="s">
        <v>248</v>
      </c>
      <c r="O64" t="s">
        <v>30</v>
      </c>
      <c r="P64">
        <v>24000</v>
      </c>
      <c r="Q64">
        <v>2020</v>
      </c>
      <c r="R64" s="4">
        <f ca="1">DATE(LEFT(Car_Sales[[#This Row],[Sales_Date_A]], 4), RIGHT(Car_Sales[[#This Row],[Sales_Date_A]], 2), 1)</f>
        <v>45444</v>
      </c>
      <c r="S64" s="4">
        <v>45463</v>
      </c>
      <c r="T64" t="s">
        <v>121</v>
      </c>
    </row>
    <row r="65" spans="1:20">
      <c r="A65" t="s">
        <v>293</v>
      </c>
      <c r="B65" t="s">
        <v>21</v>
      </c>
      <c r="C65" t="s">
        <v>294</v>
      </c>
      <c r="D65" t="str">
        <f ca="1">PROPER(Car_Sales[[#This Row],[Vehicle_Category]])</f>
        <v>Suv</v>
      </c>
      <c r="E65" t="s">
        <v>65</v>
      </c>
      <c r="F65" t="s">
        <v>25</v>
      </c>
      <c r="G65" s="2">
        <v>37800</v>
      </c>
      <c r="H65" s="3" t="str">
        <f ca="1">SUBSTITUTE(Car_Sales[[#This Row],[Sale_Price_Segment]], "K", "000")</f>
        <v>$25000-$39.9000</v>
      </c>
      <c r="I65" t="s">
        <v>295</v>
      </c>
      <c r="J65" t="s">
        <v>296</v>
      </c>
      <c r="K65" t="str">
        <f ca="1">PROPER(Car_Sales[[#This Row],[Dealer_Name]])</f>
        <v>Metro Honda</v>
      </c>
      <c r="L65" t="s">
        <v>28</v>
      </c>
      <c r="M65" t="str">
        <f ca="1">PROPER(Car_Sales[[#This Row],[Fuel_Type]])</f>
        <v>Gasoline</v>
      </c>
      <c r="N65" t="s">
        <v>204</v>
      </c>
      <c r="O65" t="s">
        <v>47</v>
      </c>
      <c r="P65">
        <v>20000</v>
      </c>
      <c r="Q65">
        <v>2021</v>
      </c>
      <c r="R65" s="4">
        <f ca="1">DATE(LEFT(Car_Sales[[#This Row],[Sales_Date_A]], 4), RIGHT(Car_Sales[[#This Row],[Sales_Date_A]], 2), 1)</f>
        <v>45474</v>
      </c>
      <c r="S65" s="4">
        <v>45493</v>
      </c>
      <c r="T65" t="s">
        <v>266</v>
      </c>
    </row>
    <row r="66" spans="1:20">
      <c r="A66" t="s">
        <v>151</v>
      </c>
      <c r="B66" t="s">
        <v>72</v>
      </c>
      <c r="C66" t="s">
        <v>152</v>
      </c>
      <c r="D66" t="str">
        <f ca="1">PROPER(Car_Sales[[#This Row],[Vehicle_Category]])</f>
        <v>Suv</v>
      </c>
      <c r="E66" t="s">
        <v>65</v>
      </c>
      <c r="F66" t="s">
        <v>25</v>
      </c>
      <c r="G66" s="2">
        <v>36800</v>
      </c>
      <c r="H66" s="3" t="str">
        <f ca="1">SUBSTITUTE(Car_Sales[[#This Row],[Sale_Price_Segment]], "K", "000")</f>
        <v>$25000-$39.9000</v>
      </c>
      <c r="I66" t="s">
        <v>153</v>
      </c>
      <c r="J66" t="s">
        <v>154</v>
      </c>
      <c r="K66" t="str">
        <f ca="1">PROPER(Car_Sales[[#This Row],[Dealer_Name]])</f>
        <v>Ford Country</v>
      </c>
      <c r="L66" t="s">
        <v>78</v>
      </c>
      <c r="M66" t="str">
        <f ca="1">PROPER(Car_Sales[[#This Row],[Fuel_Type]])</f>
        <v>Gasoline</v>
      </c>
      <c r="N66" t="s">
        <v>155</v>
      </c>
      <c r="O66" t="s">
        <v>30</v>
      </c>
      <c r="P66">
        <v>25000</v>
      </c>
      <c r="Q66">
        <v>2021</v>
      </c>
      <c r="R66" s="4">
        <f ca="1">DATE(LEFT(Car_Sales[[#This Row],[Sales_Date_A]], 4), RIGHT(Car_Sales[[#This Row],[Sales_Date_A]], 2), 1)</f>
        <v>45383</v>
      </c>
      <c r="S66" s="4">
        <v>45402</v>
      </c>
      <c r="T66" t="s">
        <v>121</v>
      </c>
    </row>
    <row r="67" spans="1:20">
      <c r="A67" t="s">
        <v>271</v>
      </c>
      <c r="B67" t="s">
        <v>41</v>
      </c>
      <c r="C67" t="s">
        <v>272</v>
      </c>
      <c r="D67" t="str">
        <f ca="1">PROPER(Car_Sales[[#This Row],[Vehicle_Category]])</f>
        <v>Sedan</v>
      </c>
      <c r="E67" t="s">
        <v>43</v>
      </c>
      <c r="F67" t="s">
        <v>25</v>
      </c>
      <c r="G67" s="2">
        <v>36800</v>
      </c>
      <c r="H67" s="3" t="str">
        <f ca="1">SUBSTITUTE(Car_Sales[[#This Row],[Sale_Price_Segment]], "K", "000")</f>
        <v>$25000-$39.9000</v>
      </c>
      <c r="I67" t="s">
        <v>273</v>
      </c>
      <c r="J67" t="s">
        <v>274</v>
      </c>
      <c r="K67" t="str">
        <f ca="1">PROPER(Car_Sales[[#This Row],[Dealer_Name]])</f>
        <v>Nissan Direct</v>
      </c>
      <c r="L67" t="s">
        <v>68</v>
      </c>
      <c r="M67" t="str">
        <f ca="1">PROPER(Car_Sales[[#This Row],[Fuel_Type]])</f>
        <v>Gasoline</v>
      </c>
      <c r="N67" t="s">
        <v>204</v>
      </c>
      <c r="O67" t="s">
        <v>39</v>
      </c>
      <c r="P67">
        <v>19000</v>
      </c>
      <c r="Q67">
        <v>2021</v>
      </c>
      <c r="R67" s="4">
        <f ca="1">DATE(LEFT(Car_Sales[[#This Row],[Sales_Date_A]], 4), RIGHT(Car_Sales[[#This Row],[Sales_Date_A]], 2), 1)</f>
        <v>45474</v>
      </c>
      <c r="S67" s="4">
        <v>45493</v>
      </c>
      <c r="T67" t="s">
        <v>266</v>
      </c>
    </row>
    <row r="68" spans="1:20">
      <c r="A68" t="s">
        <v>228</v>
      </c>
      <c r="B68" t="s">
        <v>81</v>
      </c>
      <c r="C68" t="s">
        <v>229</v>
      </c>
      <c r="D68" t="str">
        <f ca="1">PROPER(Car_Sales[[#This Row],[Vehicle_Category]])</f>
        <v>Coupe</v>
      </c>
      <c r="E68" t="s">
        <v>225</v>
      </c>
      <c r="F68" t="s">
        <v>25</v>
      </c>
      <c r="G68" s="2">
        <v>35901</v>
      </c>
      <c r="H68" s="3" t="str">
        <f ca="1">SUBSTITUTE(Car_Sales[[#This Row],[Sale_Price_Segment]], "K", "000")</f>
        <v>$25000-$39.9000</v>
      </c>
      <c r="I68" t="s">
        <v>226</v>
      </c>
      <c r="J68" t="s">
        <v>227</v>
      </c>
      <c r="K68" t="str">
        <f ca="1">PROPER(Car_Sales[[#This Row],[Dealer_Name]])</f>
        <v>Ford Country</v>
      </c>
      <c r="L68" t="s">
        <v>78</v>
      </c>
      <c r="M68" t="str">
        <f ca="1">PROPER(Car_Sales[[#This Row],[Fuel_Type]])</f>
        <v>Gasoline</v>
      </c>
      <c r="N68" t="s">
        <v>155</v>
      </c>
      <c r="O68" t="s">
        <v>54</v>
      </c>
      <c r="P68">
        <v>8000</v>
      </c>
      <c r="Q68">
        <v>2023</v>
      </c>
      <c r="R68" s="4">
        <f ca="1">DATE(LEFT(Car_Sales[[#This Row],[Sales_Date_A]], 4), RIGHT(Car_Sales[[#This Row],[Sales_Date_A]], 2), 1)</f>
        <v>45444</v>
      </c>
      <c r="S68" s="4">
        <v>45463</v>
      </c>
      <c r="T68" t="s">
        <v>121</v>
      </c>
    </row>
    <row r="69" spans="1:20">
      <c r="A69" t="s">
        <v>222</v>
      </c>
      <c r="B69" t="s">
        <v>72</v>
      </c>
      <c r="C69" t="s">
        <v>223</v>
      </c>
      <c r="D69" t="str">
        <f ca="1">PROPER(Car_Sales[[#This Row],[Vehicle_Category]])</f>
        <v>Coupe</v>
      </c>
      <c r="E69" t="s">
        <v>225</v>
      </c>
      <c r="F69" t="s">
        <v>25</v>
      </c>
      <c r="G69" s="2">
        <v>35900</v>
      </c>
      <c r="H69" s="3" t="str">
        <f ca="1">SUBSTITUTE(Car_Sales[[#This Row],[Sale_Price_Segment]], "K", "000")</f>
        <v>$25000-$39.9000</v>
      </c>
      <c r="I69" t="s">
        <v>226</v>
      </c>
      <c r="J69" t="s">
        <v>227</v>
      </c>
      <c r="K69" t="str">
        <f ca="1">PROPER(Car_Sales[[#This Row],[Dealer_Name]])</f>
        <v>Ford Country</v>
      </c>
      <c r="L69" t="s">
        <v>78</v>
      </c>
      <c r="M69" t="str">
        <f ca="1">PROPER(Car_Sales[[#This Row],[Fuel_Type]])</f>
        <v>Gasoline</v>
      </c>
      <c r="N69" t="s">
        <v>155</v>
      </c>
      <c r="O69" t="s">
        <v>54</v>
      </c>
      <c r="P69">
        <v>8000</v>
      </c>
      <c r="Q69">
        <v>2023</v>
      </c>
      <c r="R69" s="4">
        <f ca="1">DATE(LEFT(Car_Sales[[#This Row],[Sales_Date_A]], 4), RIGHT(Car_Sales[[#This Row],[Sales_Date_A]], 2), 1)</f>
        <v>45444</v>
      </c>
      <c r="S69" s="4">
        <v>45463</v>
      </c>
      <c r="T69" t="s">
        <v>121</v>
      </c>
    </row>
    <row r="70" spans="1:20">
      <c r="A70" t="s">
        <v>106</v>
      </c>
      <c r="B70" t="s">
        <v>49</v>
      </c>
      <c r="C70" t="s">
        <v>107</v>
      </c>
      <c r="D70" t="str">
        <f ca="1">PROPER(Car_Sales[[#This Row],[Vehicle_Category]])</f>
        <v>Suv</v>
      </c>
      <c r="E70" t="s">
        <v>57</v>
      </c>
      <c r="F70" t="s">
        <v>25</v>
      </c>
      <c r="G70" s="2">
        <v>35800</v>
      </c>
      <c r="H70" s="3" t="str">
        <f ca="1">SUBSTITUTE(Car_Sales[[#This Row],[Sale_Price_Segment]], "K", "000")</f>
        <v>$25000-$39.9000</v>
      </c>
      <c r="I70" t="s">
        <v>108</v>
      </c>
      <c r="J70" t="s">
        <v>109</v>
      </c>
      <c r="K70" t="str">
        <f ca="1">PROPER(Car_Sales[[#This Row],[Dealer_Name]])</f>
        <v>Hyundai Plus</v>
      </c>
      <c r="L70" t="s">
        <v>37</v>
      </c>
      <c r="M70" t="str">
        <f ca="1">PROPER(Car_Sales[[#This Row],[Fuel_Type]])</f>
        <v>Gasoline</v>
      </c>
      <c r="N70" t="s">
        <v>60</v>
      </c>
      <c r="O70" t="s">
        <v>39</v>
      </c>
      <c r="P70">
        <v>31000</v>
      </c>
      <c r="Q70">
        <v>2019</v>
      </c>
      <c r="R70" s="4">
        <f ca="1">DATE(LEFT(Car_Sales[[#This Row],[Sales_Date_A]], 4), RIGHT(Car_Sales[[#This Row],[Sales_Date_A]], 2), 1)</f>
        <v>45352</v>
      </c>
      <c r="S70" s="4">
        <v>45371</v>
      </c>
      <c r="T70" t="s">
        <v>31</v>
      </c>
    </row>
    <row r="71" spans="1:20">
      <c r="A71" t="s">
        <v>170</v>
      </c>
      <c r="B71" t="s">
        <v>33</v>
      </c>
      <c r="C71" t="s">
        <v>171</v>
      </c>
      <c r="D71" t="str">
        <f ca="1">PROPER(Car_Sales[[#This Row],[Vehicle_Category]])</f>
        <v>Suv</v>
      </c>
      <c r="E71" t="s">
        <v>57</v>
      </c>
      <c r="F71" t="s">
        <v>25</v>
      </c>
      <c r="G71" s="2">
        <v>35800</v>
      </c>
      <c r="H71" s="3" t="str">
        <f ca="1">SUBSTITUTE(Car_Sales[[#This Row],[Sale_Price_Segment]], "K", "000")</f>
        <v>$25000-$39.9000</v>
      </c>
      <c r="I71" t="s">
        <v>172</v>
      </c>
      <c r="J71" t="s">
        <v>173</v>
      </c>
      <c r="K71" t="str">
        <f ca="1">PROPER(Car_Sales[[#This Row],[Dealer_Name]])</f>
        <v>Toyota Center</v>
      </c>
      <c r="L71" t="s">
        <v>37</v>
      </c>
      <c r="M71" t="str">
        <f ca="1">PROPER(Car_Sales[[#This Row],[Fuel_Type]])</f>
        <v>Gasoline</v>
      </c>
      <c r="N71" t="s">
        <v>46</v>
      </c>
      <c r="O71" t="s">
        <v>47</v>
      </c>
      <c r="P71">
        <v>11000</v>
      </c>
      <c r="Q71">
        <v>2023</v>
      </c>
      <c r="R71" s="4">
        <f ca="1">DATE(LEFT(Car_Sales[[#This Row],[Sales_Date_A]], 4), RIGHT(Car_Sales[[#This Row],[Sales_Date_A]], 2), 1)</f>
        <v>45413</v>
      </c>
      <c r="S71" s="4">
        <v>45432</v>
      </c>
      <c r="T71" t="s">
        <v>121</v>
      </c>
    </row>
    <row r="72" spans="1:20">
      <c r="A72" t="s">
        <v>324</v>
      </c>
      <c r="B72" t="s">
        <v>21</v>
      </c>
      <c r="C72" t="s">
        <v>325</v>
      </c>
      <c r="D72" t="str">
        <f ca="1">PROPER(Car_Sales[[#This Row],[Vehicle_Category]])</f>
        <v>Van</v>
      </c>
      <c r="E72" t="s">
        <v>327</v>
      </c>
      <c r="F72" t="s">
        <v>25</v>
      </c>
      <c r="G72" s="2">
        <v>35800</v>
      </c>
      <c r="H72" s="3" t="str">
        <f ca="1">SUBSTITUTE(Car_Sales[[#This Row],[Sale_Price_Segment]], "K", "000")</f>
        <v>$25000-$39.9000</v>
      </c>
      <c r="I72" t="s">
        <v>328</v>
      </c>
      <c r="J72" t="s">
        <v>329</v>
      </c>
      <c r="K72" t="str">
        <f ca="1">PROPER(Car_Sales[[#This Row],[Dealer_Name]])</f>
        <v>Metro Honda</v>
      </c>
      <c r="L72" t="s">
        <v>28</v>
      </c>
      <c r="M72" t="str">
        <f ca="1">PROPER(Car_Sales[[#This Row],[Fuel_Type]])</f>
        <v>Gasoline</v>
      </c>
      <c r="N72" t="s">
        <v>204</v>
      </c>
      <c r="O72" t="s">
        <v>47</v>
      </c>
      <c r="P72">
        <v>22000</v>
      </c>
      <c r="Q72">
        <v>2021</v>
      </c>
      <c r="R72" s="4">
        <f ca="1">DATE(LEFT(Car_Sales[[#This Row],[Sales_Date_A]], 4), RIGHT(Car_Sales[[#This Row],[Sales_Date_A]], 2), 1)</f>
        <v>45505</v>
      </c>
      <c r="S72" s="4">
        <v>45524</v>
      </c>
      <c r="T72" t="s">
        <v>266</v>
      </c>
    </row>
    <row r="73" spans="1:20">
      <c r="A73" t="s">
        <v>392</v>
      </c>
      <c r="B73" t="s">
        <v>33</v>
      </c>
      <c r="C73" t="s">
        <v>393</v>
      </c>
      <c r="D73" t="str">
        <f ca="1">PROPER(Car_Sales[[#This Row],[Vehicle_Category]])</f>
        <v>Suv</v>
      </c>
      <c r="E73" t="s">
        <v>65</v>
      </c>
      <c r="F73" t="s">
        <v>25</v>
      </c>
      <c r="G73" s="2">
        <v>35800</v>
      </c>
      <c r="H73" s="3" t="str">
        <f ca="1">SUBSTITUTE(Car_Sales[[#This Row],[Sale_Price_Segment]], "K", "000")</f>
        <v>$25000-$39.9000</v>
      </c>
      <c r="I73" t="s">
        <v>394</v>
      </c>
      <c r="J73" t="s">
        <v>395</v>
      </c>
      <c r="K73" t="str">
        <f ca="1">PROPER(Car_Sales[[#This Row],[Dealer_Name]])</f>
        <v>Toyota Center</v>
      </c>
      <c r="L73" t="s">
        <v>37</v>
      </c>
      <c r="M73" t="str">
        <f ca="1">PROPER(Car_Sales[[#This Row],[Fuel_Type]])</f>
        <v>Gasoline</v>
      </c>
      <c r="N73" t="s">
        <v>243</v>
      </c>
      <c r="O73" t="s">
        <v>47</v>
      </c>
      <c r="P73">
        <v>24000</v>
      </c>
      <c r="Q73">
        <v>2020</v>
      </c>
      <c r="R73" s="4">
        <f ca="1">DATE(LEFT(Car_Sales[[#This Row],[Sales_Date_A]], 4), RIGHT(Car_Sales[[#This Row],[Sales_Date_A]], 2), 1)</f>
        <v>45536</v>
      </c>
      <c r="S73" s="4">
        <v>45555</v>
      </c>
      <c r="T73" t="s">
        <v>266</v>
      </c>
    </row>
    <row r="74" spans="1:20">
      <c r="A74" t="s">
        <v>412</v>
      </c>
      <c r="B74" t="s">
        <v>81</v>
      </c>
      <c r="C74" t="s">
        <v>413</v>
      </c>
      <c r="D74" t="str">
        <f ca="1">PROPER(Car_Sales[[#This Row],[Vehicle_Category]])</f>
        <v>Suv</v>
      </c>
      <c r="E74" t="s">
        <v>65</v>
      </c>
      <c r="F74" t="s">
        <v>25</v>
      </c>
      <c r="G74" s="2">
        <v>35200</v>
      </c>
      <c r="H74" s="3" t="str">
        <f ca="1">SUBSTITUTE(Car_Sales[[#This Row],[Sale_Price_Segment]], "K", "000")</f>
        <v>$25000-$39.9000</v>
      </c>
      <c r="I74" t="s">
        <v>414</v>
      </c>
      <c r="J74" t="s">
        <v>415</v>
      </c>
      <c r="K74" t="str">
        <f ca="1">PROPER(Car_Sales[[#This Row],[Dealer_Name]])</f>
        <v>Chevy World</v>
      </c>
      <c r="L74" t="s">
        <v>78</v>
      </c>
      <c r="M74" t="str">
        <f ca="1">PROPER(Car_Sales[[#This Row],[Fuel_Type]])</f>
        <v>Gasoline</v>
      </c>
      <c r="N74" t="s">
        <v>46</v>
      </c>
      <c r="O74" t="s">
        <v>61</v>
      </c>
      <c r="P74">
        <v>25000</v>
      </c>
      <c r="Q74">
        <v>2020</v>
      </c>
      <c r="R74" s="4">
        <f ca="1">DATE(LEFT(Car_Sales[[#This Row],[Sales_Date_A]], 4), RIGHT(Car_Sales[[#This Row],[Sales_Date_A]], 2), 1)</f>
        <v>45536</v>
      </c>
      <c r="S74" s="4">
        <v>45555</v>
      </c>
      <c r="T74" t="s">
        <v>266</v>
      </c>
    </row>
    <row r="75" spans="1:20">
      <c r="A75" t="s">
        <v>209</v>
      </c>
      <c r="B75" t="s">
        <v>41</v>
      </c>
      <c r="C75" t="s">
        <v>210</v>
      </c>
      <c r="D75" t="str">
        <f ca="1">PROPER(Car_Sales[[#This Row],[Vehicle_Category]])</f>
        <v>Suv</v>
      </c>
      <c r="E75" t="s">
        <v>65</v>
      </c>
      <c r="F75" t="s">
        <v>25</v>
      </c>
      <c r="G75" s="2">
        <v>34500</v>
      </c>
      <c r="H75" s="3" t="str">
        <f ca="1">SUBSTITUTE(Car_Sales[[#This Row],[Sale_Price_Segment]], "K", "000")</f>
        <v>$25000-$39.9000</v>
      </c>
      <c r="I75" t="s">
        <v>211</v>
      </c>
      <c r="J75" t="s">
        <v>212</v>
      </c>
      <c r="K75" t="str">
        <f ca="1">PROPER(Car_Sales[[#This Row],[Dealer_Name]])</f>
        <v>Nissan Direct</v>
      </c>
      <c r="L75" t="s">
        <v>68</v>
      </c>
      <c r="M75" t="str">
        <f ca="1">PROPER(Car_Sales[[#This Row],[Fuel_Type]])</f>
        <v>Gasoline</v>
      </c>
      <c r="N75" t="s">
        <v>204</v>
      </c>
      <c r="O75" t="s">
        <v>54</v>
      </c>
      <c r="P75">
        <v>25000</v>
      </c>
      <c r="Q75">
        <v>2020</v>
      </c>
      <c r="R75" s="4">
        <f ca="1">DATE(LEFT(Car_Sales[[#This Row],[Sales_Date_A]], 4), RIGHT(Car_Sales[[#This Row],[Sales_Date_A]], 2), 1)</f>
        <v>45444</v>
      </c>
      <c r="S75" s="4">
        <v>45463</v>
      </c>
      <c r="T75" t="s">
        <v>121</v>
      </c>
    </row>
    <row r="76" spans="1:20">
      <c r="A76" t="s">
        <v>564</v>
      </c>
      <c r="B76" t="s">
        <v>49</v>
      </c>
      <c r="C76" t="s">
        <v>565</v>
      </c>
      <c r="D76" t="str">
        <f ca="1">PROPER(Car_Sales[[#This Row],[Vehicle_Category]])</f>
        <v>Sedan</v>
      </c>
      <c r="E76" t="s">
        <v>43</v>
      </c>
      <c r="F76" t="s">
        <v>25</v>
      </c>
      <c r="G76" s="2">
        <v>34500</v>
      </c>
      <c r="H76" s="3" t="str">
        <f ca="1">SUBSTITUTE(Car_Sales[[#This Row],[Sale_Price_Segment]], "K", "000")</f>
        <v>$25000-$39.9000</v>
      </c>
      <c r="I76" t="s">
        <v>566</v>
      </c>
      <c r="J76" t="s">
        <v>567</v>
      </c>
      <c r="K76" t="str">
        <f ca="1">PROPER(Car_Sales[[#This Row],[Dealer_Name]])</f>
        <v>Hyundai Plus</v>
      </c>
      <c r="L76" t="s">
        <v>37</v>
      </c>
      <c r="M76" t="str">
        <f ca="1">PROPER(Car_Sales[[#This Row],[Fuel_Type]])</f>
        <v>Gasoline</v>
      </c>
      <c r="N76" t="s">
        <v>53</v>
      </c>
      <c r="O76" t="s">
        <v>54</v>
      </c>
      <c r="P76">
        <v>5000</v>
      </c>
      <c r="Q76">
        <v>2024</v>
      </c>
      <c r="R76" s="4">
        <f ca="1">DATE(LEFT(Car_Sales[[#This Row],[Sales_Date_A]], 4), RIGHT(Car_Sales[[#This Row],[Sales_Date_A]], 2), 1)</f>
        <v>45597</v>
      </c>
      <c r="S76" s="4">
        <v>45616</v>
      </c>
      <c r="T76" t="s">
        <v>458</v>
      </c>
    </row>
    <row r="77" spans="1:20">
      <c r="A77" t="s">
        <v>166</v>
      </c>
      <c r="B77" t="s">
        <v>21</v>
      </c>
      <c r="C77" t="s">
        <v>167</v>
      </c>
      <c r="D77" t="str">
        <f ca="1">PROPER(Car_Sales[[#This Row],[Vehicle_Category]])</f>
        <v>Suv</v>
      </c>
      <c r="E77" t="s">
        <v>57</v>
      </c>
      <c r="F77" t="s">
        <v>25</v>
      </c>
      <c r="G77" s="2">
        <v>33500</v>
      </c>
      <c r="H77" s="3" t="str">
        <f ca="1">SUBSTITUTE(Car_Sales[[#This Row],[Sale_Price_Segment]], "K", "000")</f>
        <v>$25000-$39.9000</v>
      </c>
      <c r="I77" t="s">
        <v>168</v>
      </c>
      <c r="J77" t="s">
        <v>169</v>
      </c>
      <c r="K77" t="str">
        <f ca="1">PROPER(Car_Sales[[#This Row],[Dealer_Name]])</f>
        <v>Metro Honda</v>
      </c>
      <c r="L77" t="s">
        <v>28</v>
      </c>
      <c r="M77" t="str">
        <f ca="1">PROPER(Car_Sales[[#This Row],[Fuel_Type]])</f>
        <v>Gasoline</v>
      </c>
      <c r="N77" t="s">
        <v>29</v>
      </c>
      <c r="O77" t="s">
        <v>54</v>
      </c>
      <c r="P77">
        <v>16000</v>
      </c>
      <c r="Q77">
        <v>2022</v>
      </c>
      <c r="R77" s="4">
        <f ca="1">DATE(LEFT(Car_Sales[[#This Row],[Sales_Date_A]], 4), RIGHT(Car_Sales[[#This Row],[Sales_Date_A]], 2), 1)</f>
        <v>45413</v>
      </c>
      <c r="S77" s="4">
        <v>45432</v>
      </c>
      <c r="T77" t="s">
        <v>121</v>
      </c>
    </row>
    <row r="78" spans="1:20">
      <c r="A78" t="s">
        <v>239</v>
      </c>
      <c r="B78" t="s">
        <v>33</v>
      </c>
      <c r="C78" t="s">
        <v>240</v>
      </c>
      <c r="D78" t="str">
        <f ca="1">PROPER(Car_Sales[[#This Row],[Vehicle_Category]])</f>
        <v>Truck</v>
      </c>
      <c r="E78" t="s">
        <v>75</v>
      </c>
      <c r="F78" t="s">
        <v>25</v>
      </c>
      <c r="G78" s="2">
        <v>33500</v>
      </c>
      <c r="H78" s="3" t="str">
        <f ca="1">SUBSTITUTE(Car_Sales[[#This Row],[Sale_Price_Segment]], "K", "000")</f>
        <v>$25000-$39.9000</v>
      </c>
      <c r="I78" t="s">
        <v>241</v>
      </c>
      <c r="J78" t="s">
        <v>242</v>
      </c>
      <c r="K78" t="str">
        <f ca="1">PROPER(Car_Sales[[#This Row],[Dealer_Name]])</f>
        <v>Toyota Center</v>
      </c>
      <c r="L78" t="s">
        <v>37</v>
      </c>
      <c r="M78" t="str">
        <f ca="1">PROPER(Car_Sales[[#This Row],[Fuel_Type]])</f>
        <v>Gasoline</v>
      </c>
      <c r="N78" t="s">
        <v>243</v>
      </c>
      <c r="O78" t="s">
        <v>70</v>
      </c>
      <c r="P78">
        <v>21000</v>
      </c>
      <c r="Q78">
        <v>2020</v>
      </c>
      <c r="R78" s="4">
        <f ca="1">DATE(LEFT(Car_Sales[[#This Row],[Sales_Date_A]], 4), RIGHT(Car_Sales[[#This Row],[Sales_Date_A]], 2), 1)</f>
        <v>45444</v>
      </c>
      <c r="S78" s="4">
        <v>45463</v>
      </c>
      <c r="T78" t="s">
        <v>121</v>
      </c>
    </row>
    <row r="79" spans="1:20">
      <c r="A79" t="s">
        <v>344</v>
      </c>
      <c r="B79" t="s">
        <v>81</v>
      </c>
      <c r="C79" t="s">
        <v>345</v>
      </c>
      <c r="D79" t="str">
        <f ca="1">PROPER(Car_Sales[[#This Row],[Vehicle_Category]])</f>
        <v>Van</v>
      </c>
      <c r="E79" t="s">
        <v>327</v>
      </c>
      <c r="F79" t="s">
        <v>25</v>
      </c>
      <c r="G79" s="2">
        <v>33500</v>
      </c>
      <c r="H79" s="3" t="str">
        <f ca="1">SUBSTITUTE(Car_Sales[[#This Row],[Sale_Price_Segment]], "K", "000")</f>
        <v>$25000-$39.9000</v>
      </c>
      <c r="I79" t="s">
        <v>346</v>
      </c>
      <c r="J79" t="s">
        <v>347</v>
      </c>
      <c r="K79" t="str">
        <f ca="1">PROPER(Car_Sales[[#This Row],[Dealer_Name]])</f>
        <v>Chevy World</v>
      </c>
      <c r="L79" t="s">
        <v>78</v>
      </c>
      <c r="M79" t="str">
        <f ca="1">PROPER(Car_Sales[[#This Row],[Fuel_Type]])</f>
        <v>Gasoline</v>
      </c>
      <c r="N79" t="s">
        <v>257</v>
      </c>
      <c r="O79" t="s">
        <v>70</v>
      </c>
      <c r="P79">
        <v>21000</v>
      </c>
      <c r="Q79">
        <v>2021</v>
      </c>
      <c r="R79" s="4">
        <f ca="1">DATE(LEFT(Car_Sales[[#This Row],[Sales_Date_A]], 4), RIGHT(Car_Sales[[#This Row],[Sales_Date_A]], 2), 1)</f>
        <v>45505</v>
      </c>
      <c r="S79" s="4">
        <v>45524</v>
      </c>
      <c r="T79" t="s">
        <v>266</v>
      </c>
    </row>
    <row r="80" spans="1:20">
      <c r="A80" t="s">
        <v>487</v>
      </c>
      <c r="B80" t="s">
        <v>21</v>
      </c>
      <c r="C80" t="s">
        <v>488</v>
      </c>
      <c r="D80" t="str">
        <f ca="1">PROPER(Car_Sales[[#This Row],[Vehicle_Category]])</f>
        <v>Sedan</v>
      </c>
      <c r="E80" t="s">
        <v>43</v>
      </c>
      <c r="F80" t="s">
        <v>25</v>
      </c>
      <c r="G80" s="2">
        <v>33500</v>
      </c>
      <c r="H80" s="3" t="str">
        <f ca="1">SUBSTITUTE(Car_Sales[[#This Row],[Sale_Price_Segment]], "K", "000")</f>
        <v>$25000-$39.9000</v>
      </c>
      <c r="I80" t="s">
        <v>489</v>
      </c>
      <c r="J80" t="s">
        <v>490</v>
      </c>
      <c r="K80" t="str">
        <f ca="1">PROPER(Car_Sales[[#This Row],[Dealer_Name]])</f>
        <v>Metro Honda</v>
      </c>
      <c r="L80" t="s">
        <v>28</v>
      </c>
      <c r="M80" t="str">
        <f ca="1">PROPER(Car_Sales[[#This Row],[Fuel_Type]])</f>
        <v>Hybrid</v>
      </c>
      <c r="N80" t="s">
        <v>29</v>
      </c>
      <c r="O80" t="s">
        <v>39</v>
      </c>
      <c r="P80">
        <v>11000</v>
      </c>
      <c r="Q80">
        <v>2023</v>
      </c>
      <c r="R80" s="4">
        <f ca="1">DATE(LEFT(Car_Sales[[#This Row],[Sales_Date_A]], 4), RIGHT(Car_Sales[[#This Row],[Sales_Date_A]], 2), 1)</f>
        <v>45566</v>
      </c>
      <c r="S80" s="4">
        <v>45585</v>
      </c>
      <c r="T80" t="s">
        <v>458</v>
      </c>
    </row>
    <row r="81" spans="1:20">
      <c r="A81" t="s">
        <v>334</v>
      </c>
      <c r="B81" t="s">
        <v>41</v>
      </c>
      <c r="C81" t="s">
        <v>335</v>
      </c>
      <c r="D81" t="str">
        <f ca="1">PROPER(Car_Sales[[#This Row],[Vehicle_Category]])</f>
        <v>Van</v>
      </c>
      <c r="E81" t="s">
        <v>327</v>
      </c>
      <c r="F81" t="s">
        <v>25</v>
      </c>
      <c r="G81" s="2">
        <v>32900</v>
      </c>
      <c r="H81" s="3" t="str">
        <f ca="1">SUBSTITUTE(Car_Sales[[#This Row],[Sale_Price_Segment]], "K", "000")</f>
        <v>$25000-$39.9000</v>
      </c>
      <c r="I81" t="s">
        <v>336</v>
      </c>
      <c r="J81" t="s">
        <v>337</v>
      </c>
      <c r="K81" t="str">
        <f ca="1">PROPER(Car_Sales[[#This Row],[Dealer_Name]])</f>
        <v>Nissan Direct</v>
      </c>
      <c r="L81" t="s">
        <v>68</v>
      </c>
      <c r="M81" t="str">
        <f ca="1">PROPER(Car_Sales[[#This Row],[Fuel_Type]])</f>
        <v>Gasoline</v>
      </c>
      <c r="N81" t="s">
        <v>204</v>
      </c>
      <c r="O81" t="s">
        <v>61</v>
      </c>
      <c r="P81">
        <v>24000</v>
      </c>
      <c r="Q81">
        <v>2020</v>
      </c>
      <c r="R81" s="4">
        <f ca="1">DATE(LEFT(Car_Sales[[#This Row],[Sales_Date_A]], 4), RIGHT(Car_Sales[[#This Row],[Sales_Date_A]], 2), 1)</f>
        <v>45505</v>
      </c>
      <c r="S81" s="4">
        <v>45524</v>
      </c>
      <c r="T81" t="s">
        <v>266</v>
      </c>
    </row>
    <row r="82" spans="1:20">
      <c r="A82" t="s">
        <v>552</v>
      </c>
      <c r="B82" t="s">
        <v>21</v>
      </c>
      <c r="C82" t="s">
        <v>553</v>
      </c>
      <c r="D82" t="str">
        <f ca="1">PROPER(Car_Sales[[#This Row],[Vehicle_Category]])</f>
        <v>Coupe</v>
      </c>
      <c r="E82" t="s">
        <v>225</v>
      </c>
      <c r="F82" t="s">
        <v>25</v>
      </c>
      <c r="G82" s="2">
        <v>32900</v>
      </c>
      <c r="H82" s="3" t="str">
        <f ca="1">SUBSTITUTE(Car_Sales[[#This Row],[Sale_Price_Segment]], "K", "000")</f>
        <v>$25000-$39.9000</v>
      </c>
      <c r="I82" t="s">
        <v>554</v>
      </c>
      <c r="J82" t="s">
        <v>555</v>
      </c>
      <c r="K82" t="str">
        <f ca="1">PROPER(Car_Sales[[#This Row],[Dealer_Name]])</f>
        <v>Metro Honda</v>
      </c>
      <c r="L82" t="s">
        <v>28</v>
      </c>
      <c r="M82" t="str">
        <f ca="1">PROPER(Car_Sales[[#This Row],[Fuel_Type]])</f>
        <v>Gasoline</v>
      </c>
      <c r="N82" t="s">
        <v>53</v>
      </c>
      <c r="O82" t="s">
        <v>30</v>
      </c>
      <c r="P82">
        <v>8000</v>
      </c>
      <c r="Q82">
        <v>2023</v>
      </c>
      <c r="R82" s="4">
        <f ca="1">DATE(LEFT(Car_Sales[[#This Row],[Sales_Date_A]], 4), RIGHT(Car_Sales[[#This Row],[Sales_Date_A]], 2), 1)</f>
        <v>45597</v>
      </c>
      <c r="S82" s="4">
        <v>45616</v>
      </c>
      <c r="T82" t="s">
        <v>458</v>
      </c>
    </row>
    <row r="83" spans="1:20">
      <c r="A83" t="s">
        <v>143</v>
      </c>
      <c r="B83" t="s">
        <v>49</v>
      </c>
      <c r="C83" t="s">
        <v>56</v>
      </c>
      <c r="D83" t="str">
        <f ca="1">PROPER(Car_Sales[[#This Row],[Vehicle_Category]])</f>
        <v>Suv</v>
      </c>
      <c r="E83" t="s">
        <v>57</v>
      </c>
      <c r="F83" t="s">
        <v>25</v>
      </c>
      <c r="G83" s="2">
        <v>32500</v>
      </c>
      <c r="H83" s="3" t="str">
        <f ca="1">SUBSTITUTE(Car_Sales[[#This Row],[Sale_Price_Segment]], "K", "000")</f>
        <v>$25000-$39.9000</v>
      </c>
      <c r="I83" t="s">
        <v>144</v>
      </c>
      <c r="J83" t="s">
        <v>145</v>
      </c>
      <c r="K83" t="str">
        <f ca="1">PROPER(Car_Sales[[#This Row],[Dealer_Name]])</f>
        <v>Hyundai Plus</v>
      </c>
      <c r="L83" t="s">
        <v>37</v>
      </c>
      <c r="M83" t="str">
        <f ca="1">PROPER(Car_Sales[[#This Row],[Fuel_Type]])</f>
        <v>Gasoline</v>
      </c>
      <c r="N83" t="s">
        <v>60</v>
      </c>
      <c r="O83" t="s">
        <v>47</v>
      </c>
      <c r="P83">
        <v>27000</v>
      </c>
      <c r="Q83">
        <v>2020</v>
      </c>
      <c r="R83" s="4">
        <f ca="1">DATE(LEFT(Car_Sales[[#This Row],[Sales_Date_A]], 4), RIGHT(Car_Sales[[#This Row],[Sales_Date_A]], 2), 1)</f>
        <v>45383</v>
      </c>
      <c r="S83" s="4">
        <v>45402</v>
      </c>
      <c r="T83" t="s">
        <v>121</v>
      </c>
    </row>
    <row r="84" spans="1:20">
      <c r="A84" t="s">
        <v>408</v>
      </c>
      <c r="B84" t="s">
        <v>72</v>
      </c>
      <c r="C84" t="s">
        <v>409</v>
      </c>
      <c r="D84" t="str">
        <f ca="1">PROPER(Car_Sales[[#This Row],[Vehicle_Category]])</f>
        <v>Suv</v>
      </c>
      <c r="E84" t="s">
        <v>65</v>
      </c>
      <c r="F84" t="s">
        <v>25</v>
      </c>
      <c r="G84" s="2">
        <v>32500</v>
      </c>
      <c r="H84" s="3" t="str">
        <f ca="1">SUBSTITUTE(Car_Sales[[#This Row],[Sale_Price_Segment]], "K", "000")</f>
        <v>$25000-$39.9000</v>
      </c>
      <c r="I84" t="s">
        <v>410</v>
      </c>
      <c r="J84" t="s">
        <v>411</v>
      </c>
      <c r="K84" t="str">
        <f ca="1">PROPER(Car_Sales[[#This Row],[Dealer_Name]])</f>
        <v>Ford Country</v>
      </c>
      <c r="L84" t="s">
        <v>78</v>
      </c>
      <c r="M84" t="str">
        <f ca="1">PROPER(Car_Sales[[#This Row],[Fuel_Type]])</f>
        <v>Gasoline</v>
      </c>
      <c r="N84" t="s">
        <v>53</v>
      </c>
      <c r="O84" t="s">
        <v>70</v>
      </c>
      <c r="P84">
        <v>27000</v>
      </c>
      <c r="Q84">
        <v>2020</v>
      </c>
      <c r="R84" s="4">
        <f ca="1">DATE(LEFT(Car_Sales[[#This Row],[Sales_Date_A]], 4), RIGHT(Car_Sales[[#This Row],[Sales_Date_A]], 2), 1)</f>
        <v>45536</v>
      </c>
      <c r="S84" s="4">
        <v>45555</v>
      </c>
      <c r="T84" t="s">
        <v>266</v>
      </c>
    </row>
    <row r="85" spans="1:20">
      <c r="A85" t="s">
        <v>495</v>
      </c>
      <c r="B85" t="s">
        <v>41</v>
      </c>
      <c r="C85" t="s">
        <v>496</v>
      </c>
      <c r="D85" t="str">
        <f ca="1">PROPER(Car_Sales[[#This Row],[Vehicle_Category]])</f>
        <v>Sedan</v>
      </c>
      <c r="E85" t="s">
        <v>43</v>
      </c>
      <c r="F85" t="s">
        <v>25</v>
      </c>
      <c r="G85" s="2">
        <v>31900</v>
      </c>
      <c r="H85" s="3" t="str">
        <f ca="1">SUBSTITUTE(Car_Sales[[#This Row],[Sale_Price_Segment]], "K", "000")</f>
        <v>$25000-$39.9000</v>
      </c>
      <c r="I85" t="s">
        <v>497</v>
      </c>
      <c r="J85" t="s">
        <v>498</v>
      </c>
      <c r="K85" t="str">
        <f ca="1">PROPER(Car_Sales[[#This Row],[Dealer_Name]])</f>
        <v>Nissan Direct</v>
      </c>
      <c r="L85" t="s">
        <v>68</v>
      </c>
      <c r="M85" t="str">
        <f ca="1">PROPER(Car_Sales[[#This Row],[Fuel_Type]])</f>
        <v>Electric</v>
      </c>
      <c r="N85" s="1" t="s">
        <v>620</v>
      </c>
      <c r="O85" t="s">
        <v>150</v>
      </c>
      <c r="P85">
        <v>9000</v>
      </c>
      <c r="Q85">
        <v>2023</v>
      </c>
      <c r="R85" s="4">
        <f ca="1">DATE(LEFT(Car_Sales[[#This Row],[Sales_Date_A]], 4), RIGHT(Car_Sales[[#This Row],[Sales_Date_A]], 2), 1)</f>
        <v>45566</v>
      </c>
      <c r="S85" s="4">
        <v>45585</v>
      </c>
      <c r="T85" t="s">
        <v>458</v>
      </c>
    </row>
    <row r="86" spans="1:20">
      <c r="A86" t="s">
        <v>218</v>
      </c>
      <c r="B86" t="s">
        <v>63</v>
      </c>
      <c r="C86" t="s">
        <v>219</v>
      </c>
      <c r="D86" t="str">
        <f ca="1">PROPER(Car_Sales[[#This Row],[Vehicle_Category]])</f>
        <v>Suv</v>
      </c>
      <c r="E86" t="s">
        <v>65</v>
      </c>
      <c r="F86" t="s">
        <v>25</v>
      </c>
      <c r="G86" s="2">
        <v>31800</v>
      </c>
      <c r="H86" s="3" t="str">
        <f ca="1">SUBSTITUTE(Car_Sales[[#This Row],[Sale_Price_Segment]], "K", "000")</f>
        <v>$25000-$39.9000</v>
      </c>
      <c r="I86" t="s">
        <v>220</v>
      </c>
      <c r="J86" t="s">
        <v>221</v>
      </c>
      <c r="K86" t="str">
        <f ca="1">PROPER(Car_Sales[[#This Row],[Dealer_Name]])</f>
        <v>Jeep Nation</v>
      </c>
      <c r="L86" t="s">
        <v>68</v>
      </c>
      <c r="M86" t="str">
        <f ca="1">PROPER(Car_Sales[[#This Row],[Fuel_Type]])</f>
        <v>Gasoline</v>
      </c>
      <c r="N86" t="s">
        <v>60</v>
      </c>
      <c r="O86" t="s">
        <v>47</v>
      </c>
      <c r="P86">
        <v>20000</v>
      </c>
      <c r="Q86">
        <v>2021</v>
      </c>
      <c r="R86" s="4">
        <f ca="1">DATE(LEFT(Car_Sales[[#This Row],[Sales_Date_A]], 4), RIGHT(Car_Sales[[#This Row],[Sales_Date_A]], 2), 1)</f>
        <v>45444</v>
      </c>
      <c r="S86" s="4">
        <v>45463</v>
      </c>
      <c r="T86" t="s">
        <v>121</v>
      </c>
    </row>
    <row r="87" spans="1:20">
      <c r="A87" t="s">
        <v>356</v>
      </c>
      <c r="B87" t="s">
        <v>33</v>
      </c>
      <c r="C87" t="s">
        <v>357</v>
      </c>
      <c r="D87" t="str">
        <f ca="1">PROPER(Car_Sales[[#This Row],[Vehicle_Category]])</f>
        <v>Suv</v>
      </c>
      <c r="E87" t="s">
        <v>65</v>
      </c>
      <c r="F87" t="s">
        <v>25</v>
      </c>
      <c r="G87" s="2">
        <v>31500</v>
      </c>
      <c r="H87" s="3" t="str">
        <f ca="1">SUBSTITUTE(Car_Sales[[#This Row],[Sale_Price_Segment]], "K", "000")</f>
        <v>$25000-$39.9000</v>
      </c>
      <c r="I87" t="s">
        <v>358</v>
      </c>
      <c r="J87" t="s">
        <v>359</v>
      </c>
      <c r="K87" t="str">
        <f ca="1">PROPER(Car_Sales[[#This Row],[Dealer_Name]])</f>
        <v>Toyota Center</v>
      </c>
      <c r="L87" t="s">
        <v>37</v>
      </c>
      <c r="M87" t="str">
        <f ca="1">PROPER(Car_Sales[[#This Row],[Fuel_Type]])</f>
        <v>Gasoline</v>
      </c>
      <c r="N87" t="s">
        <v>360</v>
      </c>
      <c r="O87" t="s">
        <v>361</v>
      </c>
      <c r="P87">
        <v>40000</v>
      </c>
      <c r="Q87">
        <v>2017</v>
      </c>
      <c r="R87" s="4">
        <f ca="1">DATE(LEFT(Car_Sales[[#This Row],[Sales_Date_A]], 4), RIGHT(Car_Sales[[#This Row],[Sales_Date_A]], 2), 1)</f>
        <v>45505</v>
      </c>
      <c r="S87" s="4">
        <v>45524</v>
      </c>
      <c r="T87" t="s">
        <v>266</v>
      </c>
    </row>
    <row r="88" spans="1:20">
      <c r="A88" t="s">
        <v>556</v>
      </c>
      <c r="B88" t="s">
        <v>33</v>
      </c>
      <c r="C88" t="s">
        <v>557</v>
      </c>
      <c r="D88" t="str">
        <f ca="1">PROPER(Car_Sales[[#This Row],[Vehicle_Category]])</f>
        <v>Coupe</v>
      </c>
      <c r="E88" t="s">
        <v>225</v>
      </c>
      <c r="F88" t="s">
        <v>25</v>
      </c>
      <c r="G88" s="2">
        <v>31500</v>
      </c>
      <c r="H88" s="3" t="str">
        <f ca="1">SUBSTITUTE(Car_Sales[[#This Row],[Sale_Price_Segment]], "K", "000")</f>
        <v>$25000-$39.9000</v>
      </c>
      <c r="I88" t="s">
        <v>558</v>
      </c>
      <c r="J88" t="s">
        <v>559</v>
      </c>
      <c r="K88" t="str">
        <f ca="1">PROPER(Car_Sales[[#This Row],[Dealer_Name]])</f>
        <v>Toyota Center</v>
      </c>
      <c r="L88" t="s">
        <v>37</v>
      </c>
      <c r="M88" t="str">
        <f ca="1">PROPER(Car_Sales[[#This Row],[Fuel_Type]])</f>
        <v>Gasoline</v>
      </c>
      <c r="N88" t="s">
        <v>60</v>
      </c>
      <c r="O88" t="s">
        <v>361</v>
      </c>
      <c r="P88">
        <v>6000</v>
      </c>
      <c r="Q88">
        <v>2023</v>
      </c>
      <c r="R88" s="4">
        <f ca="1">DATE(LEFT(Car_Sales[[#This Row],[Sales_Date_A]], 4), RIGHT(Car_Sales[[#This Row],[Sales_Date_A]], 2), 1)</f>
        <v>45597</v>
      </c>
      <c r="S88" s="4">
        <v>45616</v>
      </c>
      <c r="T88" t="s">
        <v>458</v>
      </c>
    </row>
    <row r="89" spans="1:20">
      <c r="A89" t="s">
        <v>99</v>
      </c>
      <c r="B89" t="s">
        <v>33</v>
      </c>
      <c r="C89" t="s">
        <v>100</v>
      </c>
      <c r="D89" t="str">
        <f ca="1">PROPER(Car_Sales[[#This Row],[Vehicle_Category]])</f>
        <v>Sedan</v>
      </c>
      <c r="E89" t="s">
        <v>43</v>
      </c>
      <c r="F89" t="s">
        <v>25</v>
      </c>
      <c r="G89" s="2">
        <v>31200</v>
      </c>
      <c r="H89" s="3" t="str">
        <f ca="1">SUBSTITUTE(Car_Sales[[#This Row],[Sale_Price_Segment]], "K", "000")</f>
        <v>$25000-$39.9000</v>
      </c>
      <c r="I89" t="s">
        <v>101</v>
      </c>
      <c r="J89" t="s">
        <v>102</v>
      </c>
      <c r="K89" t="str">
        <f ca="1">PROPER(Car_Sales[[#This Row],[Dealer_Name]])</f>
        <v>Toyota Center</v>
      </c>
      <c r="L89" t="s">
        <v>37</v>
      </c>
      <c r="M89" t="str">
        <f ca="1">PROPER(Car_Sales[[#This Row],[Fuel_Type]])</f>
        <v>Hybrid</v>
      </c>
      <c r="N89" t="s">
        <v>46</v>
      </c>
      <c r="O89" t="s">
        <v>30</v>
      </c>
      <c r="P89">
        <v>14000</v>
      </c>
      <c r="Q89">
        <v>2022</v>
      </c>
      <c r="R89" s="4">
        <f ca="1">DATE(LEFT(Car_Sales[[#This Row],[Sales_Date_A]], 4), RIGHT(Car_Sales[[#This Row],[Sales_Date_A]], 2), 1)</f>
        <v>45352</v>
      </c>
      <c r="S89" s="4">
        <v>45371</v>
      </c>
      <c r="T89" t="s">
        <v>31</v>
      </c>
    </row>
    <row r="90" spans="1:20">
      <c r="A90" t="s">
        <v>185</v>
      </c>
      <c r="B90" t="s">
        <v>72</v>
      </c>
      <c r="C90" t="s">
        <v>186</v>
      </c>
      <c r="D90" t="str">
        <f ca="1">PROPER(Car_Sales[[#This Row],[Vehicle_Category]])</f>
        <v>Suv</v>
      </c>
      <c r="E90" t="s">
        <v>57</v>
      </c>
      <c r="F90" t="s">
        <v>25</v>
      </c>
      <c r="G90" s="2">
        <v>30200</v>
      </c>
      <c r="H90" s="3" t="str">
        <f ca="1">SUBSTITUTE(Car_Sales[[#This Row],[Sale_Price_Segment]], "K", "000")</f>
        <v>$25000-$39.9000</v>
      </c>
      <c r="I90" t="s">
        <v>187</v>
      </c>
      <c r="J90" t="s">
        <v>188</v>
      </c>
      <c r="K90" t="str">
        <f ca="1">PROPER(Car_Sales[[#This Row],[Dealer_Name]])</f>
        <v>Ford Country</v>
      </c>
      <c r="L90" t="s">
        <v>78</v>
      </c>
      <c r="M90" t="str">
        <f ca="1">PROPER(Car_Sales[[#This Row],[Fuel_Type]])</f>
        <v>Gasoline</v>
      </c>
      <c r="N90" t="s">
        <v>29</v>
      </c>
      <c r="O90" t="s">
        <v>70</v>
      </c>
      <c r="P90">
        <v>17000</v>
      </c>
      <c r="Q90">
        <v>2022</v>
      </c>
      <c r="R90" s="4">
        <f ca="1">DATE(LEFT(Car_Sales[[#This Row],[Sales_Date_A]], 4), RIGHT(Car_Sales[[#This Row],[Sales_Date_A]], 2), 1)</f>
        <v>45413</v>
      </c>
      <c r="S90" s="4">
        <v>45432</v>
      </c>
      <c r="T90" t="s">
        <v>121</v>
      </c>
    </row>
    <row r="91" spans="1:20">
      <c r="A91" t="s">
        <v>131</v>
      </c>
      <c r="B91" t="s">
        <v>21</v>
      </c>
      <c r="C91" t="s">
        <v>96</v>
      </c>
      <c r="D91" t="str">
        <f ca="1">PROPER(Car_Sales[[#This Row],[Vehicle_Category]])</f>
        <v>Sedan</v>
      </c>
      <c r="E91" t="s">
        <v>43</v>
      </c>
      <c r="F91" t="s">
        <v>25</v>
      </c>
      <c r="G91" s="2">
        <v>29800</v>
      </c>
      <c r="H91" s="3" t="str">
        <f ca="1">SUBSTITUTE(Car_Sales[[#This Row],[Sale_Price_Segment]], "K", "000")</f>
        <v>$25000-$39.9000</v>
      </c>
      <c r="I91" t="s">
        <v>132</v>
      </c>
      <c r="J91" t="s">
        <v>133</v>
      </c>
      <c r="K91" t="str">
        <f ca="1">PROPER(Car_Sales[[#This Row],[Dealer_Name]])</f>
        <v>Metro Honda</v>
      </c>
      <c r="L91" t="s">
        <v>28</v>
      </c>
      <c r="M91" t="str">
        <f ca="1">PROPER(Car_Sales[[#This Row],[Fuel_Type]])</f>
        <v>Gasoline</v>
      </c>
      <c r="N91" t="s">
        <v>29</v>
      </c>
      <c r="O91" t="s">
        <v>61</v>
      </c>
      <c r="P91">
        <v>22000</v>
      </c>
      <c r="Q91">
        <v>2021</v>
      </c>
      <c r="R91" s="4">
        <f ca="1">DATE(LEFT(Car_Sales[[#This Row],[Sales_Date_A]], 4), RIGHT(Car_Sales[[#This Row],[Sales_Date_A]], 2), 1)</f>
        <v>45383</v>
      </c>
      <c r="S91" s="4">
        <v>45402</v>
      </c>
      <c r="T91" t="s">
        <v>121</v>
      </c>
    </row>
    <row r="92" spans="1:20">
      <c r="A92" t="s">
        <v>174</v>
      </c>
      <c r="B92" t="s">
        <v>41</v>
      </c>
      <c r="C92" t="s">
        <v>175</v>
      </c>
      <c r="D92" t="str">
        <f ca="1">PROPER(Car_Sales[[#This Row],[Vehicle_Category]])</f>
        <v>Suv</v>
      </c>
      <c r="E92" t="s">
        <v>57</v>
      </c>
      <c r="F92" t="s">
        <v>25</v>
      </c>
      <c r="G92" s="2">
        <v>29800</v>
      </c>
      <c r="H92" s="3" t="str">
        <f ca="1">SUBSTITUTE(Car_Sales[[#This Row],[Sale_Price_Segment]], "K", "000")</f>
        <v>$25000-$39.9000</v>
      </c>
      <c r="I92" t="s">
        <v>176</v>
      </c>
      <c r="J92" t="s">
        <v>89</v>
      </c>
      <c r="K92" t="str">
        <f ca="1">PROPER(Car_Sales[[#This Row],[Dealer_Name]])</f>
        <v>Nissan Direct</v>
      </c>
      <c r="L92" t="s">
        <v>68</v>
      </c>
      <c r="M92" t="str">
        <f ca="1">PROPER(Car_Sales[[#This Row],[Fuel_Type]])</f>
        <v>Gasoline</v>
      </c>
      <c r="N92" t="s">
        <v>46</v>
      </c>
      <c r="O92" t="s">
        <v>30</v>
      </c>
      <c r="P92">
        <v>24000</v>
      </c>
      <c r="Q92">
        <v>2021</v>
      </c>
      <c r="R92" s="4">
        <f ca="1">DATE(LEFT(Car_Sales[[#This Row],[Sales_Date_A]], 4), RIGHT(Car_Sales[[#This Row],[Sales_Date_A]], 2), 1)</f>
        <v>45413</v>
      </c>
      <c r="S92" s="4">
        <v>45432</v>
      </c>
      <c r="T92" t="s">
        <v>121</v>
      </c>
    </row>
    <row r="93" spans="1:20">
      <c r="A93" t="s">
        <v>249</v>
      </c>
      <c r="B93" t="s">
        <v>72</v>
      </c>
      <c r="C93" t="s">
        <v>250</v>
      </c>
      <c r="D93" t="str">
        <f ca="1">PROPER(Car_Sales[[#This Row],[Vehicle_Category]])</f>
        <v>Truck</v>
      </c>
      <c r="E93" t="s">
        <v>75</v>
      </c>
      <c r="F93" t="s">
        <v>25</v>
      </c>
      <c r="G93" s="2">
        <v>29800</v>
      </c>
      <c r="H93" s="3" t="str">
        <f ca="1">SUBSTITUTE(Car_Sales[[#This Row],[Sale_Price_Segment]], "K", "000")</f>
        <v>$25000-$39.9000</v>
      </c>
      <c r="I93" t="s">
        <v>251</v>
      </c>
      <c r="J93" t="s">
        <v>252</v>
      </c>
      <c r="K93" t="str">
        <f ca="1">PROPER(Car_Sales[[#This Row],[Dealer_Name]])</f>
        <v>Ford Country</v>
      </c>
      <c r="L93" t="s">
        <v>78</v>
      </c>
      <c r="M93" t="str">
        <f ca="1">PROPER(Car_Sales[[#This Row],[Fuel_Type]])</f>
        <v>Gasoline</v>
      </c>
      <c r="N93" t="s">
        <v>155</v>
      </c>
      <c r="O93" t="s">
        <v>61</v>
      </c>
      <c r="P93">
        <v>16000</v>
      </c>
      <c r="Q93">
        <v>2022</v>
      </c>
      <c r="R93" s="4">
        <f ca="1">DATE(LEFT(Car_Sales[[#This Row],[Sales_Date_A]], 4), RIGHT(Car_Sales[[#This Row],[Sales_Date_A]], 2), 1)</f>
        <v>45444</v>
      </c>
      <c r="S93" s="4">
        <v>45463</v>
      </c>
      <c r="T93" t="s">
        <v>121</v>
      </c>
    </row>
    <row r="94" spans="1:20">
      <c r="A94" t="s">
        <v>400</v>
      </c>
      <c r="B94" t="s">
        <v>49</v>
      </c>
      <c r="C94" t="s">
        <v>401</v>
      </c>
      <c r="D94" t="str">
        <f ca="1">PROPER(Car_Sales[[#This Row],[Vehicle_Category]])</f>
        <v>Suv</v>
      </c>
      <c r="E94" t="s">
        <v>65</v>
      </c>
      <c r="F94" t="s">
        <v>25</v>
      </c>
      <c r="G94" s="2">
        <v>29800</v>
      </c>
      <c r="H94" s="3" t="str">
        <f ca="1">SUBSTITUTE(Car_Sales[[#This Row],[Sale_Price_Segment]], "K", "000")</f>
        <v>$25000-$39.9000</v>
      </c>
      <c r="I94" t="s">
        <v>402</v>
      </c>
      <c r="J94" t="s">
        <v>403</v>
      </c>
      <c r="K94" t="str">
        <f ca="1">PROPER(Car_Sales[[#This Row],[Dealer_Name]])</f>
        <v>Hyundai Plus</v>
      </c>
      <c r="L94" t="s">
        <v>37</v>
      </c>
      <c r="M94" t="str">
        <f ca="1">PROPER(Car_Sales[[#This Row],[Fuel_Type]])</f>
        <v>Gasoline</v>
      </c>
      <c r="N94" t="s">
        <v>60</v>
      </c>
      <c r="O94" t="s">
        <v>30</v>
      </c>
      <c r="P94">
        <v>31000</v>
      </c>
      <c r="Q94">
        <v>2019</v>
      </c>
      <c r="R94" s="4">
        <f ca="1">DATE(LEFT(Car_Sales[[#This Row],[Sales_Date_A]], 4), RIGHT(Car_Sales[[#This Row],[Sales_Date_A]], 2), 1)</f>
        <v>45536</v>
      </c>
      <c r="S94" s="4">
        <v>45555</v>
      </c>
      <c r="T94" t="s">
        <v>266</v>
      </c>
    </row>
    <row r="95" spans="1:20">
      <c r="A95" t="s">
        <v>499</v>
      </c>
      <c r="B95" t="s">
        <v>49</v>
      </c>
      <c r="C95" t="s">
        <v>500</v>
      </c>
      <c r="D95" t="str">
        <f ca="1">PROPER(Car_Sales[[#This Row],[Vehicle_Category]])</f>
        <v>Sedan</v>
      </c>
      <c r="E95" t="s">
        <v>43</v>
      </c>
      <c r="F95" t="s">
        <v>25</v>
      </c>
      <c r="G95" s="2">
        <v>29800</v>
      </c>
      <c r="H95" s="3" t="str">
        <f ca="1">SUBSTITUTE(Car_Sales[[#This Row],[Sale_Price_Segment]], "K", "000")</f>
        <v>$25000-$39.9000</v>
      </c>
      <c r="I95" t="s">
        <v>501</v>
      </c>
      <c r="J95" t="s">
        <v>502</v>
      </c>
      <c r="K95" t="str">
        <f ca="1">PROPER(Car_Sales[[#This Row],[Dealer_Name]])</f>
        <v>Hyundai Plus</v>
      </c>
      <c r="L95" t="s">
        <v>37</v>
      </c>
      <c r="M95" t="str">
        <f ca="1">PROPER(Car_Sales[[#This Row],[Fuel_Type]])</f>
        <v>Electric</v>
      </c>
      <c r="N95" s="1" t="s">
        <v>620</v>
      </c>
      <c r="O95" t="s">
        <v>70</v>
      </c>
      <c r="P95">
        <v>7000</v>
      </c>
      <c r="Q95">
        <v>2023</v>
      </c>
      <c r="R95" s="4">
        <f ca="1">DATE(LEFT(Car_Sales[[#This Row],[Sales_Date_A]], 4), RIGHT(Car_Sales[[#This Row],[Sales_Date_A]], 2), 1)</f>
        <v>45566</v>
      </c>
      <c r="S95" s="4">
        <v>45585</v>
      </c>
      <c r="T95" t="s">
        <v>458</v>
      </c>
    </row>
    <row r="96" spans="1:20">
      <c r="A96" t="s">
        <v>572</v>
      </c>
      <c r="B96" t="s">
        <v>72</v>
      </c>
      <c r="C96" t="s">
        <v>573</v>
      </c>
      <c r="D96" t="str">
        <f ca="1">PROPER(Car_Sales[[#This Row],[Vehicle_Category]])</f>
        <v>Suv</v>
      </c>
      <c r="E96" t="s">
        <v>65</v>
      </c>
      <c r="F96" t="s">
        <v>25</v>
      </c>
      <c r="G96" s="2">
        <v>29800</v>
      </c>
      <c r="H96" s="3" t="str">
        <f ca="1">SUBSTITUTE(Car_Sales[[#This Row],[Sale_Price_Segment]], "K", "000")</f>
        <v>$25000-$39.9000</v>
      </c>
      <c r="I96" t="s">
        <v>574</v>
      </c>
      <c r="J96" t="s">
        <v>575</v>
      </c>
      <c r="K96" t="str">
        <f ca="1">PROPER(Car_Sales[[#This Row],[Dealer_Name]])</f>
        <v>Ford Country</v>
      </c>
      <c r="L96" t="s">
        <v>78</v>
      </c>
      <c r="M96" t="str">
        <f ca="1">PROPER(Car_Sales[[#This Row],[Fuel_Type]])</f>
        <v>Gasoline</v>
      </c>
      <c r="N96" t="s">
        <v>29</v>
      </c>
      <c r="O96" t="s">
        <v>150</v>
      </c>
      <c r="P96">
        <v>9000</v>
      </c>
      <c r="Q96">
        <v>2023</v>
      </c>
      <c r="R96" s="4">
        <f ca="1">DATE(LEFT(Car_Sales[[#This Row],[Sales_Date_A]], 4), RIGHT(Car_Sales[[#This Row],[Sales_Date_A]], 2), 1)</f>
        <v>45597</v>
      </c>
      <c r="S96" s="4">
        <v>45616</v>
      </c>
      <c r="T96" t="s">
        <v>458</v>
      </c>
    </row>
    <row r="97" spans="1:20">
      <c r="A97" t="s">
        <v>55</v>
      </c>
      <c r="B97" t="s">
        <v>49</v>
      </c>
      <c r="C97" t="s">
        <v>56</v>
      </c>
      <c r="D97" t="str">
        <f ca="1">PROPER(Car_Sales[[#This Row],[Vehicle_Category]])</f>
        <v>Suv</v>
      </c>
      <c r="E97" t="s">
        <v>57</v>
      </c>
      <c r="F97" t="s">
        <v>25</v>
      </c>
      <c r="G97" s="2">
        <v>29500</v>
      </c>
      <c r="H97" s="3" t="str">
        <f ca="1">SUBSTITUTE(Car_Sales[[#This Row],[Sale_Price_Segment]], "K", "000")</f>
        <v>$25000-$39.9000</v>
      </c>
      <c r="I97" t="s">
        <v>58</v>
      </c>
      <c r="J97" t="s">
        <v>59</v>
      </c>
      <c r="K97" t="str">
        <f ca="1">PROPER(Car_Sales[[#This Row],[Dealer_Name]])</f>
        <v>Hyundai Plus</v>
      </c>
      <c r="L97" t="s">
        <v>37</v>
      </c>
      <c r="M97" t="str">
        <f ca="1">PROPER(Car_Sales[[#This Row],[Fuel_Type]])</f>
        <v>Gasoline</v>
      </c>
      <c r="N97" t="s">
        <v>60</v>
      </c>
      <c r="O97" t="s">
        <v>61</v>
      </c>
      <c r="P97">
        <v>28000</v>
      </c>
      <c r="Q97">
        <v>2019</v>
      </c>
      <c r="R97" s="4">
        <f ca="1">DATE(LEFT(Car_Sales[[#This Row],[Sales_Date_A]], 4), RIGHT(Car_Sales[[#This Row],[Sales_Date_A]], 2), 1)</f>
        <v>45323</v>
      </c>
      <c r="S97" s="4">
        <v>45342</v>
      </c>
      <c r="T97" t="s">
        <v>31</v>
      </c>
    </row>
    <row r="98" spans="1:20">
      <c r="A98" t="s">
        <v>134</v>
      </c>
      <c r="B98" t="s">
        <v>33</v>
      </c>
      <c r="C98" t="s">
        <v>135</v>
      </c>
      <c r="D98" t="str">
        <f ca="1">PROPER(Car_Sales[[#This Row],[Vehicle_Category]])</f>
        <v>Sedan</v>
      </c>
      <c r="E98" t="s">
        <v>43</v>
      </c>
      <c r="F98" t="s">
        <v>25</v>
      </c>
      <c r="G98" s="2">
        <v>29500</v>
      </c>
      <c r="H98" s="3" t="str">
        <f ca="1">SUBSTITUTE(Car_Sales[[#This Row],[Sale_Price_Segment]], "K", "000")</f>
        <v>$25000-$39.9000</v>
      </c>
      <c r="I98" t="s">
        <v>136</v>
      </c>
      <c r="J98" t="s">
        <v>137</v>
      </c>
      <c r="K98" t="str">
        <f ca="1">PROPER(Car_Sales[[#This Row],[Dealer_Name]])</f>
        <v>Toyota Center</v>
      </c>
      <c r="L98" t="s">
        <v>37</v>
      </c>
      <c r="M98" t="str">
        <f ca="1">PROPER(Car_Sales[[#This Row],[Fuel_Type]])</f>
        <v>Hybrid</v>
      </c>
      <c r="N98" t="s">
        <v>38</v>
      </c>
      <c r="O98" t="s">
        <v>30</v>
      </c>
      <c r="P98">
        <v>9000</v>
      </c>
      <c r="Q98">
        <v>2023</v>
      </c>
      <c r="R98" s="4">
        <f ca="1">DATE(LEFT(Car_Sales[[#This Row],[Sales_Date_A]], 4), RIGHT(Car_Sales[[#This Row],[Sales_Date_A]], 2), 1)</f>
        <v>45383</v>
      </c>
      <c r="S98" s="4">
        <v>45402</v>
      </c>
      <c r="T98" t="s">
        <v>121</v>
      </c>
    </row>
    <row r="99" spans="1:20">
      <c r="A99" t="s">
        <v>342</v>
      </c>
      <c r="B99" t="s">
        <v>72</v>
      </c>
      <c r="C99" t="s">
        <v>343</v>
      </c>
      <c r="D99" t="str">
        <f ca="1">PROPER(Car_Sales[[#This Row],[Vehicle_Category]])</f>
        <v>Van</v>
      </c>
      <c r="E99" t="s">
        <v>327</v>
      </c>
      <c r="F99" t="s">
        <v>25</v>
      </c>
      <c r="G99" s="2">
        <v>28901</v>
      </c>
      <c r="H99" s="3" t="str">
        <f ca="1">SUBSTITUTE(Car_Sales[[#This Row],[Sale_Price_Segment]], "K", "000")</f>
        <v>$25000-$39.9000</v>
      </c>
      <c r="I99" t="s">
        <v>340</v>
      </c>
      <c r="J99" t="s">
        <v>341</v>
      </c>
      <c r="K99" t="str">
        <f ca="1">PROPER(Car_Sales[[#This Row],[Dealer_Name]])</f>
        <v>Hyundai Plus</v>
      </c>
      <c r="L99" t="s">
        <v>37</v>
      </c>
      <c r="M99" t="str">
        <f ca="1">PROPER(Car_Sales[[#This Row],[Fuel_Type]])</f>
        <v>Gasoline</v>
      </c>
      <c r="N99" t="s">
        <v>310</v>
      </c>
      <c r="O99" t="s">
        <v>30</v>
      </c>
      <c r="P99">
        <v>27000</v>
      </c>
      <c r="Q99">
        <v>2019</v>
      </c>
      <c r="R99" s="4">
        <f ca="1">DATE(LEFT(Car_Sales[[#This Row],[Sales_Date_A]], 4), RIGHT(Car_Sales[[#This Row],[Sales_Date_A]], 2), 1)</f>
        <v>45505</v>
      </c>
      <c r="S99" s="4">
        <v>45524</v>
      </c>
      <c r="T99" t="s">
        <v>266</v>
      </c>
    </row>
    <row r="100" spans="1:20">
      <c r="A100" t="s">
        <v>95</v>
      </c>
      <c r="B100" t="s">
        <v>21</v>
      </c>
      <c r="C100" t="s">
        <v>96</v>
      </c>
      <c r="D100" t="str">
        <f ca="1">PROPER(Car_Sales[[#This Row],[Vehicle_Category]])</f>
        <v>Sedan</v>
      </c>
      <c r="E100" t="s">
        <v>43</v>
      </c>
      <c r="F100" t="s">
        <v>25</v>
      </c>
      <c r="G100" s="2">
        <v>28900</v>
      </c>
      <c r="H100" s="3" t="str">
        <f ca="1">SUBSTITUTE(Car_Sales[[#This Row],[Sale_Price_Segment]], "K", "000")</f>
        <v>$25000-$39.9000</v>
      </c>
      <c r="I100" t="s">
        <v>97</v>
      </c>
      <c r="J100" t="s">
        <v>98</v>
      </c>
      <c r="K100" t="str">
        <f ca="1">PROPER(Car_Sales[[#This Row],[Dealer_Name]])</f>
        <v>Metro Honda</v>
      </c>
      <c r="L100" t="s">
        <v>28</v>
      </c>
      <c r="M100" t="str">
        <f ca="1">PROPER(Car_Sales[[#This Row],[Fuel_Type]])</f>
        <v>Gasoline</v>
      </c>
      <c r="N100" t="s">
        <v>29</v>
      </c>
      <c r="O100" t="s">
        <v>47</v>
      </c>
      <c r="P100">
        <v>19000</v>
      </c>
      <c r="Q100">
        <v>2021</v>
      </c>
      <c r="R100" s="4">
        <f ca="1">DATE(LEFT(Car_Sales[[#This Row],[Sales_Date_A]], 4), RIGHT(Car_Sales[[#This Row],[Sales_Date_A]], 2), 1)</f>
        <v>45352</v>
      </c>
      <c r="S100" s="4">
        <v>45371</v>
      </c>
      <c r="T100" t="s">
        <v>31</v>
      </c>
    </row>
    <row r="101" spans="1:20">
      <c r="A101" t="s">
        <v>156</v>
      </c>
      <c r="B101" t="s">
        <v>81</v>
      </c>
      <c r="C101" t="s">
        <v>157</v>
      </c>
      <c r="D101" t="str">
        <f ca="1">PROPER(Car_Sales[[#This Row],[Vehicle_Category]])</f>
        <v>Suv</v>
      </c>
      <c r="E101" t="s">
        <v>57</v>
      </c>
      <c r="F101" t="s">
        <v>25</v>
      </c>
      <c r="G101" s="2">
        <v>28900</v>
      </c>
      <c r="H101" s="3" t="str">
        <f ca="1">SUBSTITUTE(Car_Sales[[#This Row],[Sale_Price_Segment]], "K", "000")</f>
        <v>$25000-$39.9000</v>
      </c>
      <c r="I101" t="s">
        <v>158</v>
      </c>
      <c r="J101" t="s">
        <v>159</v>
      </c>
      <c r="K101" t="str">
        <f ca="1">PROPER(Car_Sales[[#This Row],[Dealer_Name]])</f>
        <v>Chevy World</v>
      </c>
      <c r="L101" t="s">
        <v>78</v>
      </c>
      <c r="M101" t="str">
        <f ca="1">PROPER(Car_Sales[[#This Row],[Fuel_Type]])</f>
        <v>Gasoline</v>
      </c>
      <c r="N101" t="s">
        <v>29</v>
      </c>
      <c r="O101" t="s">
        <v>39</v>
      </c>
      <c r="P101">
        <v>20000</v>
      </c>
      <c r="Q101">
        <v>2022</v>
      </c>
      <c r="R101" s="4">
        <f ca="1">DATE(LEFT(Car_Sales[[#This Row],[Sales_Date_A]], 4), RIGHT(Car_Sales[[#This Row],[Sales_Date_A]], 2), 1)</f>
        <v>45383</v>
      </c>
      <c r="S101" s="4">
        <v>45402</v>
      </c>
      <c r="T101" t="s">
        <v>121</v>
      </c>
    </row>
    <row r="102" spans="1:20">
      <c r="A102" t="s">
        <v>338</v>
      </c>
      <c r="B102" t="s">
        <v>49</v>
      </c>
      <c r="C102" t="s">
        <v>339</v>
      </c>
      <c r="D102" t="str">
        <f ca="1">PROPER(Car_Sales[[#This Row],[Vehicle_Category]])</f>
        <v>Van</v>
      </c>
      <c r="E102" t="s">
        <v>327</v>
      </c>
      <c r="F102" t="s">
        <v>25</v>
      </c>
      <c r="G102" s="2">
        <v>28900</v>
      </c>
      <c r="H102" s="3" t="str">
        <f ca="1">SUBSTITUTE(Car_Sales[[#This Row],[Sale_Price_Segment]], "K", "000")</f>
        <v>$25000-$39.9000</v>
      </c>
      <c r="I102" t="s">
        <v>340</v>
      </c>
      <c r="J102" t="s">
        <v>341</v>
      </c>
      <c r="K102" t="str">
        <f ca="1">PROPER(Car_Sales[[#This Row],[Dealer_Name]])</f>
        <v>Hyundai Plus</v>
      </c>
      <c r="L102" t="s">
        <v>37</v>
      </c>
      <c r="M102" t="str">
        <f ca="1">PROPER(Car_Sales[[#This Row],[Fuel_Type]])</f>
        <v>Gasoline</v>
      </c>
      <c r="N102" t="s">
        <v>310</v>
      </c>
      <c r="O102" t="s">
        <v>30</v>
      </c>
      <c r="P102">
        <v>27000</v>
      </c>
      <c r="Q102">
        <v>2019</v>
      </c>
      <c r="R102" s="4">
        <f ca="1">DATE(LEFT(Car_Sales[[#This Row],[Sales_Date_A]], 4), RIGHT(Car_Sales[[#This Row],[Sales_Date_A]], 2), 1)</f>
        <v>45505</v>
      </c>
      <c r="S102" s="4">
        <v>45524</v>
      </c>
      <c r="T102" t="s">
        <v>266</v>
      </c>
    </row>
    <row r="103" spans="1:20">
      <c r="A103" t="s">
        <v>375</v>
      </c>
      <c r="B103" t="s">
        <v>72</v>
      </c>
      <c r="C103" t="s">
        <v>376</v>
      </c>
      <c r="D103" t="str">
        <f ca="1">PROPER(Car_Sales[[#This Row],[Vehicle_Category]])</f>
        <v>Suv</v>
      </c>
      <c r="E103" t="s">
        <v>65</v>
      </c>
      <c r="F103" t="s">
        <v>25</v>
      </c>
      <c r="G103" s="2">
        <v>28900</v>
      </c>
      <c r="H103" s="3" t="str">
        <f ca="1">SUBSTITUTE(Car_Sales[[#This Row],[Sale_Price_Segment]], "K", "000")</f>
        <v>$25000-$39.9000</v>
      </c>
      <c r="I103" t="s">
        <v>377</v>
      </c>
      <c r="J103" t="s">
        <v>378</v>
      </c>
      <c r="K103" t="str">
        <f ca="1">PROPER(Car_Sales[[#This Row],[Dealer_Name]])</f>
        <v>Ford Country</v>
      </c>
      <c r="L103" t="s">
        <v>78</v>
      </c>
      <c r="M103" t="str">
        <f ca="1">PROPER(Car_Sales[[#This Row],[Fuel_Type]])</f>
        <v>Gasoline</v>
      </c>
      <c r="N103" t="s">
        <v>379</v>
      </c>
      <c r="O103" t="s">
        <v>30</v>
      </c>
      <c r="P103">
        <v>48000</v>
      </c>
      <c r="Q103">
        <v>2016</v>
      </c>
      <c r="R103" s="4">
        <f ca="1">DATE(LEFT(Car_Sales[[#This Row],[Sales_Date_A]], 4), RIGHT(Car_Sales[[#This Row],[Sales_Date_A]], 2), 1)</f>
        <v>45505</v>
      </c>
      <c r="S103" s="4">
        <v>45524</v>
      </c>
      <c r="T103" t="s">
        <v>266</v>
      </c>
    </row>
    <row r="104" spans="1:20">
      <c r="A104" t="s">
        <v>181</v>
      </c>
      <c r="B104" t="s">
        <v>63</v>
      </c>
      <c r="C104" t="s">
        <v>182</v>
      </c>
      <c r="D104" t="str">
        <f ca="1">PROPER(Car_Sales[[#This Row],[Vehicle_Category]])</f>
        <v>Suv</v>
      </c>
      <c r="E104" t="s">
        <v>65</v>
      </c>
      <c r="F104" t="s">
        <v>25</v>
      </c>
      <c r="G104" s="2">
        <v>27900</v>
      </c>
      <c r="H104" s="3" t="str">
        <f ca="1">SUBSTITUTE(Car_Sales[[#This Row],[Sale_Price_Segment]], "K", "000")</f>
        <v>$25000-$39.9000</v>
      </c>
      <c r="I104" t="s">
        <v>183</v>
      </c>
      <c r="J104" t="s">
        <v>184</v>
      </c>
      <c r="K104" t="str">
        <f ca="1">PROPER(Car_Sales[[#This Row],[Dealer_Name]])</f>
        <v>Jeep Nation</v>
      </c>
      <c r="L104" t="s">
        <v>68</v>
      </c>
      <c r="M104" t="str">
        <f ca="1">PROPER(Car_Sales[[#This Row],[Fuel_Type]])</f>
        <v>Gasoline</v>
      </c>
      <c r="N104" t="s">
        <v>60</v>
      </c>
      <c r="O104" t="s">
        <v>39</v>
      </c>
      <c r="P104">
        <v>22000</v>
      </c>
      <c r="Q104">
        <v>2021</v>
      </c>
      <c r="R104" s="4">
        <f ca="1">DATE(LEFT(Car_Sales[[#This Row],[Sales_Date_A]], 4), RIGHT(Car_Sales[[#This Row],[Sales_Date_A]], 2), 1)</f>
        <v>45413</v>
      </c>
      <c r="S104" s="4">
        <v>45432</v>
      </c>
      <c r="T104" t="s">
        <v>121</v>
      </c>
    </row>
    <row r="105" spans="1:20">
      <c r="A105" t="s">
        <v>388</v>
      </c>
      <c r="B105" t="s">
        <v>21</v>
      </c>
      <c r="C105" t="s">
        <v>389</v>
      </c>
      <c r="D105" t="str">
        <f ca="1">PROPER(Car_Sales[[#This Row],[Vehicle_Category]])</f>
        <v>Suv</v>
      </c>
      <c r="E105" t="s">
        <v>65</v>
      </c>
      <c r="F105" t="s">
        <v>25</v>
      </c>
      <c r="G105" s="2">
        <v>27900</v>
      </c>
      <c r="H105" s="3" t="str">
        <f ca="1">SUBSTITUTE(Car_Sales[[#This Row],[Sale_Price_Segment]], "K", "000")</f>
        <v>$25000-$39.9000</v>
      </c>
      <c r="I105" t="s">
        <v>390</v>
      </c>
      <c r="J105" t="s">
        <v>391</v>
      </c>
      <c r="K105" t="str">
        <f ca="1">PROPER(Car_Sales[[#This Row],[Dealer_Name]])</f>
        <v>Metro Honda</v>
      </c>
      <c r="L105" t="s">
        <v>28</v>
      </c>
      <c r="M105" t="str">
        <f ca="1">PROPER(Car_Sales[[#This Row],[Fuel_Type]])</f>
        <v>Gasoline</v>
      </c>
      <c r="N105" t="s">
        <v>204</v>
      </c>
      <c r="O105" t="s">
        <v>61</v>
      </c>
      <c r="P105">
        <v>29000</v>
      </c>
      <c r="Q105">
        <v>2019</v>
      </c>
      <c r="R105" s="4">
        <f ca="1">DATE(LEFT(Car_Sales[[#This Row],[Sales_Date_A]], 4), RIGHT(Car_Sales[[#This Row],[Sales_Date_A]], 2), 1)</f>
        <v>45505</v>
      </c>
      <c r="S105" s="4">
        <v>45524</v>
      </c>
      <c r="T105" t="s">
        <v>266</v>
      </c>
    </row>
    <row r="106" spans="1:20">
      <c r="A106" t="s">
        <v>471</v>
      </c>
      <c r="B106" t="s">
        <v>63</v>
      </c>
      <c r="C106" t="s">
        <v>472</v>
      </c>
      <c r="D106" t="str">
        <f ca="1">PROPER(Car_Sales[[#This Row],[Vehicle_Category]])</f>
        <v>Suv</v>
      </c>
      <c r="E106" t="s">
        <v>65</v>
      </c>
      <c r="F106" t="s">
        <v>25</v>
      </c>
      <c r="G106" s="2">
        <v>27900</v>
      </c>
      <c r="H106" s="3" t="str">
        <f ca="1">SUBSTITUTE(Car_Sales[[#This Row],[Sale_Price_Segment]], "K", "000")</f>
        <v>$25000-$39.9000</v>
      </c>
      <c r="I106" t="s">
        <v>473</v>
      </c>
      <c r="J106" t="s">
        <v>474</v>
      </c>
      <c r="K106" t="str">
        <f ca="1">PROPER(Car_Sales[[#This Row],[Dealer_Name]])</f>
        <v>Jeep Nation</v>
      </c>
      <c r="L106" t="s">
        <v>68</v>
      </c>
      <c r="M106" t="str">
        <f ca="1">PROPER(Car_Sales[[#This Row],[Fuel_Type]])</f>
        <v>Gasoline</v>
      </c>
      <c r="N106" t="s">
        <v>475</v>
      </c>
      <c r="O106" t="s">
        <v>47</v>
      </c>
      <c r="P106">
        <v>13000</v>
      </c>
      <c r="Q106">
        <v>2023</v>
      </c>
      <c r="R106" s="4">
        <f ca="1">DATE(LEFT(Car_Sales[[#This Row],[Sales_Date_A]], 4), RIGHT(Car_Sales[[#This Row],[Sales_Date_A]], 2), 1)</f>
        <v>45566</v>
      </c>
      <c r="S106" s="4">
        <v>45585</v>
      </c>
      <c r="T106" t="s">
        <v>458</v>
      </c>
    </row>
    <row r="107" spans="1:20">
      <c r="A107" t="s">
        <v>103</v>
      </c>
      <c r="B107" t="s">
        <v>41</v>
      </c>
      <c r="C107" t="s">
        <v>42</v>
      </c>
      <c r="D107" t="str">
        <f ca="1">PROPER(Car_Sales[[#This Row],[Vehicle_Category]])</f>
        <v>Sedan</v>
      </c>
      <c r="E107" t="s">
        <v>43</v>
      </c>
      <c r="F107" t="s">
        <v>25</v>
      </c>
      <c r="G107" s="2">
        <v>27500</v>
      </c>
      <c r="H107" s="3" t="str">
        <f ca="1">SUBSTITUTE(Car_Sales[[#This Row],[Sale_Price_Segment]], "K", "000")</f>
        <v>$25000-$39.9000</v>
      </c>
      <c r="I107" t="s">
        <v>104</v>
      </c>
      <c r="J107" t="s">
        <v>105</v>
      </c>
      <c r="K107" t="str">
        <f ca="1">PROPER(Car_Sales[[#This Row],[Dealer_Name]])</f>
        <v>Nissan Direct</v>
      </c>
      <c r="L107" t="s">
        <v>68</v>
      </c>
      <c r="M107" t="str">
        <f ca="1">PROPER(Car_Sales[[#This Row],[Fuel_Type]])</f>
        <v>Gasoline</v>
      </c>
      <c r="N107" t="s">
        <v>46</v>
      </c>
      <c r="O107" s="1" t="s">
        <v>621</v>
      </c>
      <c r="P107">
        <v>26000</v>
      </c>
      <c r="Q107">
        <v>2020</v>
      </c>
      <c r="R107" s="4">
        <f ca="1">DATE(LEFT(Car_Sales[[#This Row],[Sales_Date_A]], 4), RIGHT(Car_Sales[[#This Row],[Sales_Date_A]], 2), 1)</f>
        <v>45352</v>
      </c>
      <c r="S107" s="4">
        <v>45371</v>
      </c>
      <c r="T107" t="s">
        <v>31</v>
      </c>
    </row>
    <row r="108" spans="1:20">
      <c r="A108" t="s">
        <v>262</v>
      </c>
      <c r="B108" t="s">
        <v>21</v>
      </c>
      <c r="C108" t="s">
        <v>263</v>
      </c>
      <c r="D108" t="str">
        <f ca="1">PROPER(Car_Sales[[#This Row],[Vehicle_Category]])</f>
        <v>Sedan</v>
      </c>
      <c r="E108" t="s">
        <v>43</v>
      </c>
      <c r="F108" t="s">
        <v>25</v>
      </c>
      <c r="G108" s="2">
        <v>26900</v>
      </c>
      <c r="H108" s="3" t="str">
        <f ca="1">SUBSTITUTE(Car_Sales[[#This Row],[Sale_Price_Segment]], "K", "000")</f>
        <v>$25000-$39.9000</v>
      </c>
      <c r="I108" t="s">
        <v>264</v>
      </c>
      <c r="J108" t="s">
        <v>265</v>
      </c>
      <c r="K108" t="str">
        <f ca="1">PROPER(Car_Sales[[#This Row],[Dealer_Name]])</f>
        <v>Metro Honda</v>
      </c>
      <c r="L108" t="s">
        <v>28</v>
      </c>
      <c r="M108" t="str">
        <f ca="1">PROPER(Car_Sales[[#This Row],[Fuel_Type]])</f>
        <v>Hybrid</v>
      </c>
      <c r="N108" t="s">
        <v>29</v>
      </c>
      <c r="O108" t="s">
        <v>30</v>
      </c>
      <c r="P108">
        <v>13000</v>
      </c>
      <c r="Q108">
        <v>2022</v>
      </c>
      <c r="R108" s="4">
        <f ca="1">DATE(LEFT(Car_Sales[[#This Row],[Sales_Date_A]], 4), RIGHT(Car_Sales[[#This Row],[Sales_Date_A]], 2), 1)</f>
        <v>45474</v>
      </c>
      <c r="S108" s="4">
        <v>45493</v>
      </c>
      <c r="T108" t="s">
        <v>266</v>
      </c>
    </row>
    <row r="109" spans="1:20">
      <c r="A109" t="s">
        <v>362</v>
      </c>
      <c r="B109" t="s">
        <v>41</v>
      </c>
      <c r="C109" t="s">
        <v>363</v>
      </c>
      <c r="D109" t="str">
        <f ca="1">PROPER(Car_Sales[[#This Row],[Vehicle_Category]])</f>
        <v>Suv</v>
      </c>
      <c r="E109" t="s">
        <v>65</v>
      </c>
      <c r="F109" t="s">
        <v>25</v>
      </c>
      <c r="G109" s="2">
        <v>26900</v>
      </c>
      <c r="H109" s="3" t="str">
        <f ca="1">SUBSTITUTE(Car_Sales[[#This Row],[Sale_Price_Segment]], "K", "000")</f>
        <v>$25000-$39.9000</v>
      </c>
      <c r="I109" t="s">
        <v>364</v>
      </c>
      <c r="J109" t="s">
        <v>365</v>
      </c>
      <c r="K109" t="str">
        <f ca="1">PROPER(Car_Sales[[#This Row],[Dealer_Name]])</f>
        <v>Nissan Direct</v>
      </c>
      <c r="L109" t="s">
        <v>68</v>
      </c>
      <c r="M109" t="str">
        <f ca="1">PROPER(Car_Sales[[#This Row],[Fuel_Type]])</f>
        <v>Gasoline</v>
      </c>
      <c r="N109" t="s">
        <v>360</v>
      </c>
      <c r="O109" t="s">
        <v>54</v>
      </c>
      <c r="P109">
        <v>38000</v>
      </c>
      <c r="Q109">
        <v>2018</v>
      </c>
      <c r="R109" s="4">
        <f ca="1">DATE(LEFT(Car_Sales[[#This Row],[Sales_Date_A]], 4), RIGHT(Car_Sales[[#This Row],[Sales_Date_A]], 2), 1)</f>
        <v>45505</v>
      </c>
      <c r="S109" s="4">
        <v>45524</v>
      </c>
      <c r="T109" t="s">
        <v>266</v>
      </c>
    </row>
    <row r="110" spans="1:20">
      <c r="A110" t="s">
        <v>511</v>
      </c>
      <c r="B110" t="s">
        <v>81</v>
      </c>
      <c r="C110" t="s">
        <v>512</v>
      </c>
      <c r="D110" t="str">
        <f ca="1">PROPER(Car_Sales[[#This Row],[Vehicle_Category]])</f>
        <v>Sedan</v>
      </c>
      <c r="E110" t="s">
        <v>43</v>
      </c>
      <c r="F110" t="s">
        <v>25</v>
      </c>
      <c r="G110" s="2">
        <v>26900</v>
      </c>
      <c r="H110" s="3" t="str">
        <f ca="1">SUBSTITUTE(Car_Sales[[#This Row],[Sale_Price_Segment]], "K", "000")</f>
        <v>$25000-$39.9000</v>
      </c>
      <c r="I110" t="s">
        <v>513</v>
      </c>
      <c r="J110" t="s">
        <v>514</v>
      </c>
      <c r="K110" t="str">
        <f ca="1">PROPER(Car_Sales[[#This Row],[Dealer_Name]])</f>
        <v>Chevy World</v>
      </c>
      <c r="L110" t="s">
        <v>78</v>
      </c>
      <c r="M110" t="str">
        <f ca="1">PROPER(Car_Sales[[#This Row],[Fuel_Type]])</f>
        <v>Electric</v>
      </c>
      <c r="N110" s="1" t="s">
        <v>620</v>
      </c>
      <c r="O110" t="s">
        <v>54</v>
      </c>
      <c r="P110">
        <v>8000</v>
      </c>
      <c r="Q110">
        <v>2023</v>
      </c>
      <c r="R110" s="4">
        <f ca="1">DATE(LEFT(Car_Sales[[#This Row],[Sales_Date_A]], 4), RIGHT(Car_Sales[[#This Row],[Sales_Date_A]], 2), 1)</f>
        <v>45566</v>
      </c>
      <c r="S110" s="4">
        <v>45585</v>
      </c>
      <c r="T110" t="s">
        <v>458</v>
      </c>
    </row>
    <row r="111" spans="1:20">
      <c r="A111" t="s">
        <v>40</v>
      </c>
      <c r="B111" t="s">
        <v>41</v>
      </c>
      <c r="C111" t="s">
        <v>42</v>
      </c>
      <c r="D111" t="str">
        <f ca="1">PROPER(Car_Sales[[#This Row],[Vehicle_Category]])</f>
        <v>Sedan</v>
      </c>
      <c r="E111" t="s">
        <v>43</v>
      </c>
      <c r="F111" t="s">
        <v>25</v>
      </c>
      <c r="G111" s="2">
        <v>26800</v>
      </c>
      <c r="H111" s="3" t="str">
        <f ca="1">SUBSTITUTE(Car_Sales[[#This Row],[Sale_Price_Segment]], "K", "000")</f>
        <v>$25000-$39.9000</v>
      </c>
      <c r="I111" t="s">
        <v>44</v>
      </c>
      <c r="J111" t="s">
        <v>45</v>
      </c>
      <c r="K111" t="str">
        <f ca="1">PROPER(Car_Sales[[#This Row],[Dealer_Name]])</f>
        <v>Unknown Dealer</v>
      </c>
      <c r="L111" t="s">
        <v>28</v>
      </c>
      <c r="M111" t="str">
        <f ca="1">PROPER(Car_Sales[[#This Row],[Fuel_Type]])</f>
        <v>Gasoline</v>
      </c>
      <c r="N111" t="s">
        <v>46</v>
      </c>
      <c r="O111" t="s">
        <v>47</v>
      </c>
      <c r="P111">
        <v>22000</v>
      </c>
      <c r="Q111">
        <v>2020</v>
      </c>
      <c r="R111" s="4">
        <f ca="1">DATE(LEFT(Car_Sales[[#This Row],[Sales_Date_A]], 4), RIGHT(Car_Sales[[#This Row],[Sales_Date_A]], 2), 1)</f>
        <v>45323</v>
      </c>
      <c r="S111" s="4">
        <v>45342</v>
      </c>
      <c r="T111" t="s">
        <v>31</v>
      </c>
    </row>
    <row r="112" spans="1:20">
      <c r="A112" t="s">
        <v>436</v>
      </c>
      <c r="B112" t="s">
        <v>63</v>
      </c>
      <c r="C112" t="s">
        <v>437</v>
      </c>
      <c r="D112" t="str">
        <f ca="1">PROPER(Car_Sales[[#This Row],[Vehicle_Category]])</f>
        <v>Suv</v>
      </c>
      <c r="E112" t="s">
        <v>65</v>
      </c>
      <c r="F112" t="s">
        <v>25</v>
      </c>
      <c r="G112" s="2">
        <v>26800</v>
      </c>
      <c r="H112" s="3" t="str">
        <f ca="1">SUBSTITUTE(Car_Sales[[#This Row],[Sale_Price_Segment]], "K", "000")</f>
        <v>$25000-$39.9000</v>
      </c>
      <c r="I112" t="s">
        <v>438</v>
      </c>
      <c r="J112" t="s">
        <v>439</v>
      </c>
      <c r="K112" t="str">
        <f ca="1">PROPER(Car_Sales[[#This Row],[Dealer_Name]])</f>
        <v>Jeep Nation</v>
      </c>
      <c r="L112" t="s">
        <v>68</v>
      </c>
      <c r="M112" t="str">
        <f ca="1">PROPER(Car_Sales[[#This Row],[Fuel_Type]])</f>
        <v>Gasoline</v>
      </c>
      <c r="N112" t="s">
        <v>120</v>
      </c>
      <c r="O112" t="s">
        <v>283</v>
      </c>
      <c r="P112">
        <v>17000</v>
      </c>
      <c r="Q112">
        <v>2022</v>
      </c>
      <c r="R112" s="4">
        <f ca="1">DATE(LEFT(Car_Sales[[#This Row],[Sales_Date_A]], 4), RIGHT(Car_Sales[[#This Row],[Sales_Date_A]], 2), 1)</f>
        <v>45536</v>
      </c>
      <c r="S112" s="4">
        <v>45555</v>
      </c>
      <c r="T112" t="s">
        <v>266</v>
      </c>
    </row>
    <row r="113" spans="1:20">
      <c r="A113" t="s">
        <v>177</v>
      </c>
      <c r="B113" t="s">
        <v>49</v>
      </c>
      <c r="C113" t="s">
        <v>178</v>
      </c>
      <c r="D113" t="str">
        <f ca="1">PROPER(Car_Sales[[#This Row],[Vehicle_Category]])</f>
        <v>Sedan</v>
      </c>
      <c r="E113" t="s">
        <v>43</v>
      </c>
      <c r="F113" t="s">
        <v>25</v>
      </c>
      <c r="G113" s="2">
        <v>26500</v>
      </c>
      <c r="H113" s="3" t="str">
        <f ca="1">SUBSTITUTE(Car_Sales[[#This Row],[Sale_Price_Segment]], "K", "000")</f>
        <v>$25000-$39.9000</v>
      </c>
      <c r="I113" t="s">
        <v>179</v>
      </c>
      <c r="J113" t="s">
        <v>180</v>
      </c>
      <c r="K113" t="str">
        <f ca="1">PROPER(Car_Sales[[#This Row],[Dealer_Name]])</f>
        <v>Hyundai Plus</v>
      </c>
      <c r="L113" t="s">
        <v>37</v>
      </c>
      <c r="M113" t="str">
        <f ca="1">PROPER(Car_Sales[[#This Row],[Fuel_Type]])</f>
        <v>Gasoline</v>
      </c>
      <c r="N113" t="s">
        <v>46</v>
      </c>
      <c r="O113" t="s">
        <v>61</v>
      </c>
      <c r="P113">
        <v>19000</v>
      </c>
      <c r="Q113">
        <v>2022</v>
      </c>
      <c r="R113" s="4">
        <f ca="1">DATE(LEFT(Car_Sales[[#This Row],[Sales_Date_A]], 4), RIGHT(Car_Sales[[#This Row],[Sales_Date_A]], 2), 1)</f>
        <v>45413</v>
      </c>
      <c r="S113" s="4">
        <v>45432</v>
      </c>
      <c r="T113" t="s">
        <v>121</v>
      </c>
    </row>
    <row r="114" spans="1:20">
      <c r="A114" t="s">
        <v>459</v>
      </c>
      <c r="B114" t="s">
        <v>33</v>
      </c>
      <c r="C114" t="s">
        <v>460</v>
      </c>
      <c r="D114" t="str">
        <f ca="1">PROPER(Car_Sales[[#This Row],[Vehicle_Category]])</f>
        <v>Suv</v>
      </c>
      <c r="E114" t="s">
        <v>65</v>
      </c>
      <c r="F114" t="s">
        <v>25</v>
      </c>
      <c r="G114" s="2">
        <v>26500</v>
      </c>
      <c r="H114" s="3" t="str">
        <f ca="1">SUBSTITUTE(Car_Sales[[#This Row],[Sale_Price_Segment]], "K", "000")</f>
        <v>$25000-$39.9000</v>
      </c>
      <c r="I114" t="s">
        <v>461</v>
      </c>
      <c r="J114" t="s">
        <v>462</v>
      </c>
      <c r="K114" t="str">
        <f ca="1">PROPER(Car_Sales[[#This Row],[Dealer_Name]])</f>
        <v>Toyota Center</v>
      </c>
      <c r="L114" t="s">
        <v>37</v>
      </c>
      <c r="M114" t="str">
        <f ca="1">PROPER(Car_Sales[[#This Row],[Fuel_Type]])</f>
        <v>Gasoline</v>
      </c>
      <c r="N114" t="s">
        <v>53</v>
      </c>
      <c r="O114" t="s">
        <v>61</v>
      </c>
      <c r="P114">
        <v>18000</v>
      </c>
      <c r="Q114">
        <v>2022</v>
      </c>
      <c r="R114" s="4">
        <f ca="1">DATE(LEFT(Car_Sales[[#This Row],[Sales_Date_A]], 4), RIGHT(Car_Sales[[#This Row],[Sales_Date_A]], 2), 1)</f>
        <v>45566</v>
      </c>
      <c r="S114" s="4">
        <v>45585</v>
      </c>
      <c r="T114" t="s">
        <v>458</v>
      </c>
    </row>
    <row r="115" spans="1:20">
      <c r="A115" t="s">
        <v>480</v>
      </c>
      <c r="B115" t="s">
        <v>81</v>
      </c>
      <c r="C115" t="s">
        <v>481</v>
      </c>
      <c r="D115" t="str">
        <f ca="1">PROPER(Car_Sales[[#This Row],[Vehicle_Category]])</f>
        <v>Suv</v>
      </c>
      <c r="E115" t="s">
        <v>65</v>
      </c>
      <c r="F115" t="s">
        <v>25</v>
      </c>
      <c r="G115" s="2">
        <v>25800</v>
      </c>
      <c r="H115" s="3" t="str">
        <f ca="1">SUBSTITUTE(Car_Sales[[#This Row],[Sale_Price_Segment]], "K", "000")</f>
        <v>$25000-$39.9000</v>
      </c>
      <c r="I115" t="s">
        <v>482</v>
      </c>
      <c r="J115" t="s">
        <v>333</v>
      </c>
      <c r="K115" t="str">
        <f ca="1">PROPER(Car_Sales[[#This Row],[Dealer_Name]])</f>
        <v>Chevy World</v>
      </c>
      <c r="L115" t="s">
        <v>78</v>
      </c>
      <c r="M115" t="str">
        <f ca="1">PROPER(Car_Sales[[#This Row],[Fuel_Type]])</f>
        <v>Gasoline</v>
      </c>
      <c r="N115" t="s">
        <v>475</v>
      </c>
      <c r="O115" t="s">
        <v>39</v>
      </c>
      <c r="P115">
        <v>17000</v>
      </c>
      <c r="Q115">
        <v>2022</v>
      </c>
      <c r="R115" s="4">
        <f ca="1">DATE(LEFT(Car_Sales[[#This Row],[Sales_Date_A]], 4), RIGHT(Car_Sales[[#This Row],[Sales_Date_A]], 2), 1)</f>
        <v>45566</v>
      </c>
      <c r="S115" s="4">
        <v>45585</v>
      </c>
      <c r="T115" t="s">
        <v>458</v>
      </c>
    </row>
    <row r="116" spans="1:20">
      <c r="A116" t="s">
        <v>80</v>
      </c>
      <c r="B116" t="s">
        <v>81</v>
      </c>
      <c r="C116" t="s">
        <v>82</v>
      </c>
      <c r="D116" t="str">
        <f ca="1">PROPER(Car_Sales[[#This Row],[Vehicle_Category]])</f>
        <v>Sedan</v>
      </c>
      <c r="E116" t="s">
        <v>43</v>
      </c>
      <c r="F116" t="s">
        <v>25</v>
      </c>
      <c r="G116" s="2">
        <v>25500</v>
      </c>
      <c r="H116" s="3" t="str">
        <f ca="1">SUBSTITUTE(Car_Sales[[#This Row],[Sale_Price_Segment]], "K", "000")</f>
        <v>$25000-$39.9000</v>
      </c>
      <c r="I116" s="1" t="s">
        <v>619</v>
      </c>
      <c r="J116" t="s">
        <v>83</v>
      </c>
      <c r="K116" t="str">
        <f ca="1">PROPER(Car_Sales[[#This Row],[Dealer_Name]])</f>
        <v>Chevy World</v>
      </c>
      <c r="L116" t="s">
        <v>78</v>
      </c>
      <c r="M116" t="str">
        <f ca="1">PROPER(Car_Sales[[#This Row],[Fuel_Type]])</f>
        <v>Gasoline</v>
      </c>
      <c r="N116" t="s">
        <v>29</v>
      </c>
      <c r="O116" t="s">
        <v>39</v>
      </c>
      <c r="P116">
        <v>16000</v>
      </c>
      <c r="Q116">
        <v>2022</v>
      </c>
      <c r="R116" s="4">
        <f ca="1">DATE(LEFT(Car_Sales[[#This Row],[Sales_Date_A]], 4), RIGHT(Car_Sales[[#This Row],[Sales_Date_A]], 2), 1)</f>
        <v>45323</v>
      </c>
      <c r="S116" s="4">
        <v>45342</v>
      </c>
      <c r="T116" t="s">
        <v>31</v>
      </c>
    </row>
    <row r="117" spans="1:20">
      <c r="A117" t="s">
        <v>352</v>
      </c>
      <c r="B117" t="s">
        <v>21</v>
      </c>
      <c r="C117" t="s">
        <v>353</v>
      </c>
      <c r="D117" t="str">
        <f ca="1">PROPER(Car_Sales[[#This Row],[Vehicle_Category]])</f>
        <v>Suv</v>
      </c>
      <c r="E117" t="s">
        <v>65</v>
      </c>
      <c r="F117" t="s">
        <v>25</v>
      </c>
      <c r="G117" s="2">
        <v>24900</v>
      </c>
      <c r="H117" s="3" t="str">
        <f ca="1">SUBSTITUTE(Car_Sales[[#This Row],[Sale_Price_Segment]], "K", "000")</f>
        <v>Under $25,000</v>
      </c>
      <c r="I117" t="s">
        <v>354</v>
      </c>
      <c r="J117" t="s">
        <v>355</v>
      </c>
      <c r="K117" t="str">
        <f ca="1">PROPER(Car_Sales[[#This Row],[Dealer_Name]])</f>
        <v>Metro Honda</v>
      </c>
      <c r="L117" t="s">
        <v>28</v>
      </c>
      <c r="M117" t="str">
        <f ca="1">PROPER(Car_Sales[[#This Row],[Fuel_Type]])</f>
        <v>Gasoline</v>
      </c>
      <c r="N117" t="s">
        <v>60</v>
      </c>
      <c r="O117" t="s">
        <v>283</v>
      </c>
      <c r="P117">
        <v>35000</v>
      </c>
      <c r="Q117">
        <v>2018</v>
      </c>
      <c r="R117" s="4">
        <f ca="1">DATE(LEFT(Car_Sales[[#This Row],[Sales_Date_A]], 4), RIGHT(Car_Sales[[#This Row],[Sales_Date_A]], 2), 1)</f>
        <v>45505</v>
      </c>
      <c r="S117" s="4">
        <v>45524</v>
      </c>
      <c r="T117" t="s">
        <v>266</v>
      </c>
    </row>
    <row r="118" spans="1:20">
      <c r="A118" t="s">
        <v>454</v>
      </c>
      <c r="B118" t="s">
        <v>21</v>
      </c>
      <c r="C118" t="s">
        <v>455</v>
      </c>
      <c r="D118" t="str">
        <f ca="1">PROPER(Car_Sales[[#This Row],[Vehicle_Category]])</f>
        <v>Suv</v>
      </c>
      <c r="E118" t="s">
        <v>65</v>
      </c>
      <c r="F118" t="s">
        <v>25</v>
      </c>
      <c r="G118" s="2">
        <v>24900</v>
      </c>
      <c r="H118" s="3" t="str">
        <f ca="1">SUBSTITUTE(Car_Sales[[#This Row],[Sale_Price_Segment]], "K", "000")</f>
        <v>Under $25,000</v>
      </c>
      <c r="I118" t="s">
        <v>456</v>
      </c>
      <c r="J118" t="s">
        <v>457</v>
      </c>
      <c r="K118" t="str">
        <f ca="1">PROPER(Car_Sales[[#This Row],[Dealer_Name]])</f>
        <v>Metro Honda</v>
      </c>
      <c r="L118" t="s">
        <v>28</v>
      </c>
      <c r="M118" t="str">
        <f ca="1">PROPER(Car_Sales[[#This Row],[Fuel_Type]])</f>
        <v>Gasoline</v>
      </c>
      <c r="N118" t="s">
        <v>38</v>
      </c>
      <c r="O118" t="s">
        <v>70</v>
      </c>
      <c r="P118">
        <v>20000</v>
      </c>
      <c r="Q118">
        <v>2021</v>
      </c>
      <c r="R118" s="4">
        <f ca="1">DATE(LEFT(Car_Sales[[#This Row],[Sales_Date_A]], 4), RIGHT(Car_Sales[[#This Row],[Sales_Date_A]], 2), 1)</f>
        <v>45566</v>
      </c>
      <c r="S118" s="4">
        <v>45585</v>
      </c>
      <c r="T118" t="s">
        <v>458</v>
      </c>
    </row>
    <row r="119" spans="1:20">
      <c r="A119" t="s">
        <v>539</v>
      </c>
      <c r="B119" t="s">
        <v>72</v>
      </c>
      <c r="C119" t="s">
        <v>540</v>
      </c>
      <c r="D119" t="str">
        <f ca="1">PROPER(Car_Sales[[#This Row],[Vehicle_Category]])</f>
        <v>Truck</v>
      </c>
      <c r="E119" t="s">
        <v>75</v>
      </c>
      <c r="F119" t="s">
        <v>25</v>
      </c>
      <c r="G119" s="2">
        <v>24900</v>
      </c>
      <c r="H119" s="3" t="str">
        <f ca="1">SUBSTITUTE(Car_Sales[[#This Row],[Sale_Price_Segment]], "K", "000")</f>
        <v>Under $25,000</v>
      </c>
      <c r="I119" t="s">
        <v>541</v>
      </c>
      <c r="J119" t="s">
        <v>542</v>
      </c>
      <c r="K119" t="str">
        <f ca="1">PROPER(Car_Sales[[#This Row],[Dealer_Name]])</f>
        <v>Ford Country</v>
      </c>
      <c r="L119" t="s">
        <v>78</v>
      </c>
      <c r="M119" t="str">
        <f ca="1">PROPER(Car_Sales[[#This Row],[Fuel_Type]])</f>
        <v>Gasoline</v>
      </c>
      <c r="N119" t="s">
        <v>53</v>
      </c>
      <c r="O119" t="s">
        <v>283</v>
      </c>
      <c r="P119">
        <v>11000</v>
      </c>
      <c r="Q119">
        <v>2023</v>
      </c>
      <c r="R119" s="4">
        <f ca="1">DATE(LEFT(Car_Sales[[#This Row],[Sales_Date_A]], 4), RIGHT(Car_Sales[[#This Row],[Sales_Date_A]], 2), 1)</f>
        <v>45597</v>
      </c>
      <c r="S119" s="4">
        <v>45616</v>
      </c>
      <c r="T119" t="s">
        <v>458</v>
      </c>
    </row>
    <row r="120" spans="1:20">
      <c r="A120" t="s">
        <v>116</v>
      </c>
      <c r="B120" t="s">
        <v>81</v>
      </c>
      <c r="C120" t="s">
        <v>117</v>
      </c>
      <c r="D120" t="str">
        <f ca="1">PROPER(Car_Sales[[#This Row],[Vehicle_Category]])</f>
        <v>Sedan</v>
      </c>
      <c r="E120" t="s">
        <v>24</v>
      </c>
      <c r="F120" t="s">
        <v>25</v>
      </c>
      <c r="G120" s="2">
        <v>24800</v>
      </c>
      <c r="H120" s="3" t="str">
        <f ca="1">SUBSTITUTE(Car_Sales[[#This Row],[Sale_Price_Segment]], "K", "000")</f>
        <v>Under $25,000</v>
      </c>
      <c r="I120" t="s">
        <v>118</v>
      </c>
      <c r="J120" t="s">
        <v>119</v>
      </c>
      <c r="K120" t="str">
        <f ca="1">PROPER(Car_Sales[[#This Row],[Dealer_Name]])</f>
        <v>Chevy World</v>
      </c>
      <c r="L120" t="s">
        <v>78</v>
      </c>
      <c r="M120" t="str">
        <f ca="1">PROPER(Car_Sales[[#This Row],[Fuel_Type]])</f>
        <v>Gasoline</v>
      </c>
      <c r="N120" t="s">
        <v>120</v>
      </c>
      <c r="O120" t="s">
        <v>47</v>
      </c>
      <c r="P120">
        <v>17000</v>
      </c>
      <c r="Q120">
        <v>2022</v>
      </c>
      <c r="R120" s="4">
        <f ca="1">DATE(LEFT(Car_Sales[[#This Row],[Sales_Date_A]], 4), RIGHT(Car_Sales[[#This Row],[Sales_Date_A]], 2), 1)</f>
        <v>45383</v>
      </c>
      <c r="S120" s="4">
        <v>45402</v>
      </c>
      <c r="T120" t="s">
        <v>121</v>
      </c>
    </row>
    <row r="121" spans="1:20">
      <c r="A121" t="s">
        <v>20</v>
      </c>
      <c r="B121" t="s">
        <v>21</v>
      </c>
      <c r="C121" t="s">
        <v>22</v>
      </c>
      <c r="D121" t="str">
        <f ca="1">PROPER(Car_Sales[[#This Row],[Vehicle_Category]])</f>
        <v>Sedan</v>
      </c>
      <c r="E121" t="s">
        <v>24</v>
      </c>
      <c r="F121" t="s">
        <v>25</v>
      </c>
      <c r="G121" s="2">
        <v>24500</v>
      </c>
      <c r="H121" s="3" t="str">
        <f ca="1">SUBSTITUTE(Car_Sales[[#This Row],[Sale_Price_Segment]], "K", "000")</f>
        <v>Under $25,000</v>
      </c>
      <c r="I121" t="s">
        <v>26</v>
      </c>
      <c r="J121" t="s">
        <v>27</v>
      </c>
      <c r="K121" t="str">
        <f ca="1">PROPER(Car_Sales[[#This Row],[Dealer_Name]])</f>
        <v>Metro Honda</v>
      </c>
      <c r="L121" t="s">
        <v>28</v>
      </c>
      <c r="M121" t="str">
        <f ca="1">PROPER(Car_Sales[[#This Row],[Fuel_Type]])</f>
        <v>Gasoline</v>
      </c>
      <c r="N121" t="s">
        <v>29</v>
      </c>
      <c r="O121" t="s">
        <v>30</v>
      </c>
      <c r="P121">
        <v>15000</v>
      </c>
      <c r="Q121">
        <v>2021</v>
      </c>
      <c r="R121" s="4">
        <f ca="1">DATE(LEFT(Car_Sales[[#This Row],[Sales_Date_A]], 4), RIGHT(Car_Sales[[#This Row],[Sales_Date_A]], 2), 1)</f>
        <v>45292</v>
      </c>
      <c r="S121" s="4">
        <v>45311</v>
      </c>
      <c r="T121" t="s">
        <v>31</v>
      </c>
    </row>
    <row r="122" spans="1:20">
      <c r="A122" t="s">
        <v>32</v>
      </c>
      <c r="B122" t="s">
        <v>33</v>
      </c>
      <c r="C122" t="s">
        <v>34</v>
      </c>
      <c r="D122" t="str">
        <f ca="1">PROPER(Car_Sales[[#This Row],[Vehicle_Category]])</f>
        <v>Sedan</v>
      </c>
      <c r="E122" t="s">
        <v>24</v>
      </c>
      <c r="F122" t="s">
        <v>25</v>
      </c>
      <c r="G122" s="2">
        <v>24500</v>
      </c>
      <c r="H122" s="3" t="str">
        <f ca="1">SUBSTITUTE(Car_Sales[[#This Row],[Sale_Price_Segment]], "K", "000")</f>
        <v>Under $25,001</v>
      </c>
      <c r="I122" t="s">
        <v>35</v>
      </c>
      <c r="J122" t="s">
        <v>36</v>
      </c>
      <c r="K122" t="str">
        <f ca="1">PROPER(Car_Sales[[#This Row],[Dealer_Name]])</f>
        <v>Toyota Center</v>
      </c>
      <c r="L122" t="s">
        <v>37</v>
      </c>
      <c r="M122" t="str">
        <f ca="1">PROPER(Car_Sales[[#This Row],[Fuel_Type]])</f>
        <v>Gasoline</v>
      </c>
      <c r="N122" t="s">
        <v>38</v>
      </c>
      <c r="O122" t="s">
        <v>39</v>
      </c>
      <c r="P122">
        <v>8500</v>
      </c>
      <c r="Q122">
        <v>2021</v>
      </c>
      <c r="R122" s="4">
        <f ca="1">DATE(LEFT(Car_Sales[[#This Row],[Sales_Date_A]], 4), RIGHT(Car_Sales[[#This Row],[Sales_Date_A]], 2), 1)</f>
        <v>45292</v>
      </c>
      <c r="S122" s="4">
        <v>45311</v>
      </c>
      <c r="T122" t="s">
        <v>31</v>
      </c>
    </row>
    <row r="123" spans="1:20">
      <c r="A123" t="s">
        <v>138</v>
      </c>
      <c r="B123" t="s">
        <v>41</v>
      </c>
      <c r="C123" t="s">
        <v>139</v>
      </c>
      <c r="D123" t="str">
        <f ca="1">PROPER(Car_Sales[[#This Row],[Vehicle_Category]])</f>
        <v>Sedan</v>
      </c>
      <c r="E123" t="s">
        <v>24</v>
      </c>
      <c r="F123" t="s">
        <v>25</v>
      </c>
      <c r="G123" s="2">
        <v>24500</v>
      </c>
      <c r="H123" s="3" t="str">
        <f ca="1">SUBSTITUTE(Car_Sales[[#This Row],[Sale_Price_Segment]], "K", "000")</f>
        <v>Under $25,000</v>
      </c>
      <c r="I123" t="s">
        <v>140</v>
      </c>
      <c r="J123" t="s">
        <v>141</v>
      </c>
      <c r="K123" t="str">
        <f ca="1">PROPER(Car_Sales[[#This Row],[Dealer_Name]])</f>
        <v>Nissan Direct</v>
      </c>
      <c r="L123" t="s">
        <v>68</v>
      </c>
      <c r="M123" t="str">
        <f ca="1">PROPER(Car_Sales[[#This Row],[Fuel_Type]])</f>
        <v>Gasoline</v>
      </c>
      <c r="N123" t="s">
        <v>142</v>
      </c>
      <c r="O123" t="s">
        <v>54</v>
      </c>
      <c r="P123">
        <v>18000</v>
      </c>
      <c r="Q123" s="1">
        <v>2023</v>
      </c>
      <c r="R123" s="4">
        <f ca="1">DATE(LEFT(Car_Sales[[#This Row],[Sales_Date_A]], 4), RIGHT(Car_Sales[[#This Row],[Sales_Date_A]], 2), 1)</f>
        <v>45383</v>
      </c>
      <c r="S123" s="4">
        <v>45402</v>
      </c>
      <c r="T123" t="s">
        <v>121</v>
      </c>
    </row>
    <row r="124" spans="1:20">
      <c r="A124" t="s">
        <v>467</v>
      </c>
      <c r="B124" t="s">
        <v>49</v>
      </c>
      <c r="C124" t="s">
        <v>468</v>
      </c>
      <c r="D124" t="str">
        <f ca="1">PROPER(Car_Sales[[#This Row],[Vehicle_Category]])</f>
        <v>Suv</v>
      </c>
      <c r="E124" t="s">
        <v>65</v>
      </c>
      <c r="F124" t="s">
        <v>25</v>
      </c>
      <c r="G124" s="2">
        <v>24500</v>
      </c>
      <c r="H124" s="3" t="str">
        <f ca="1">SUBSTITUTE(Car_Sales[[#This Row],[Sale_Price_Segment]], "K", "000")</f>
        <v>Under $25,000</v>
      </c>
      <c r="I124" t="s">
        <v>469</v>
      </c>
      <c r="J124" t="s">
        <v>470</v>
      </c>
      <c r="K124" t="str">
        <f ca="1">PROPER(Car_Sales[[#This Row],[Dealer_Name]])</f>
        <v>Hyundai Plus</v>
      </c>
      <c r="L124" t="s">
        <v>37</v>
      </c>
      <c r="M124" t="str">
        <f ca="1">PROPER(Car_Sales[[#This Row],[Fuel_Type]])</f>
        <v>Gasoline</v>
      </c>
      <c r="N124" t="s">
        <v>53</v>
      </c>
      <c r="O124" t="s">
        <v>30</v>
      </c>
      <c r="P124">
        <v>15000</v>
      </c>
      <c r="Q124">
        <v>2022</v>
      </c>
      <c r="R124" s="4">
        <f ca="1">DATE(LEFT(Car_Sales[[#This Row],[Sales_Date_A]], 4), RIGHT(Car_Sales[[#This Row],[Sales_Date_A]], 2), 1)</f>
        <v>45566</v>
      </c>
      <c r="S124" s="4">
        <v>45585</v>
      </c>
      <c r="T124" t="s">
        <v>458</v>
      </c>
    </row>
    <row r="125" spans="1:20">
      <c r="A125" t="s">
        <v>432</v>
      </c>
      <c r="B125" t="s">
        <v>49</v>
      </c>
      <c r="C125" t="s">
        <v>433</v>
      </c>
      <c r="D125" t="str">
        <f ca="1">PROPER(Car_Sales[[#This Row],[Vehicle_Category]])</f>
        <v>Coupe</v>
      </c>
      <c r="E125" t="s">
        <v>24</v>
      </c>
      <c r="F125" t="s">
        <v>25</v>
      </c>
      <c r="G125" s="2">
        <v>23900</v>
      </c>
      <c r="H125" s="3" t="str">
        <f ca="1">SUBSTITUTE(Car_Sales[[#This Row],[Sale_Price_Segment]], "K", "000")</f>
        <v>Under $25,000</v>
      </c>
      <c r="I125" t="s">
        <v>434</v>
      </c>
      <c r="J125" t="s">
        <v>435</v>
      </c>
      <c r="K125" t="str">
        <f ca="1">PROPER(Car_Sales[[#This Row],[Dealer_Name]])</f>
        <v>Hyundai Plus</v>
      </c>
      <c r="L125" t="s">
        <v>37</v>
      </c>
      <c r="M125" t="str">
        <f ca="1">PROPER(Car_Sales[[#This Row],[Fuel_Type]])</f>
        <v>Gasoline</v>
      </c>
      <c r="N125" t="s">
        <v>142</v>
      </c>
      <c r="O125" t="s">
        <v>361</v>
      </c>
      <c r="P125">
        <v>14000</v>
      </c>
      <c r="Q125">
        <v>2022</v>
      </c>
      <c r="R125" s="4">
        <f ca="1">DATE(LEFT(Car_Sales[[#This Row],[Sales_Date_A]], 4), RIGHT(Car_Sales[[#This Row],[Sales_Date_A]], 2), 1)</f>
        <v>45536</v>
      </c>
      <c r="S125" s="4">
        <v>45555</v>
      </c>
      <c r="T125" t="s">
        <v>266</v>
      </c>
    </row>
    <row r="126" spans="1:20">
      <c r="A126" t="s">
        <v>476</v>
      </c>
      <c r="B126" t="s">
        <v>72</v>
      </c>
      <c r="C126" t="s">
        <v>477</v>
      </c>
      <c r="D126" t="str">
        <f ca="1">PROPER(Car_Sales[[#This Row],[Vehicle_Category]])</f>
        <v>Suv</v>
      </c>
      <c r="E126" t="s">
        <v>65</v>
      </c>
      <c r="F126" t="s">
        <v>25</v>
      </c>
      <c r="G126" s="2">
        <v>23900</v>
      </c>
      <c r="H126" s="3" t="str">
        <f ca="1">SUBSTITUTE(Car_Sales[[#This Row],[Sale_Price_Segment]], "K", "000")</f>
        <v>Under $25,000</v>
      </c>
      <c r="I126" t="s">
        <v>478</v>
      </c>
      <c r="J126" t="s">
        <v>479</v>
      </c>
      <c r="K126" t="str">
        <f ca="1">PROPER(Car_Sales[[#This Row],[Dealer_Name]])</f>
        <v>Ford Country</v>
      </c>
      <c r="L126" t="s">
        <v>78</v>
      </c>
      <c r="M126" t="str">
        <f ca="1">PROPER(Car_Sales[[#This Row],[Fuel_Type]])</f>
        <v>Gasoline</v>
      </c>
      <c r="N126" t="s">
        <v>444</v>
      </c>
      <c r="O126" t="s">
        <v>150</v>
      </c>
      <c r="P126">
        <v>14000</v>
      </c>
      <c r="Q126">
        <v>2022</v>
      </c>
      <c r="R126" s="4">
        <f ca="1">DATE(LEFT(Car_Sales[[#This Row],[Sales_Date_A]], 4), RIGHT(Car_Sales[[#This Row],[Sales_Date_A]], 2), 1)</f>
        <v>45566</v>
      </c>
      <c r="S126" s="4">
        <v>45585</v>
      </c>
      <c r="T126" t="s">
        <v>458</v>
      </c>
    </row>
    <row r="127" spans="1:20">
      <c r="A127" t="s">
        <v>366</v>
      </c>
      <c r="B127" t="s">
        <v>49</v>
      </c>
      <c r="C127" t="s">
        <v>367</v>
      </c>
      <c r="D127" t="str">
        <f ca="1">PROPER(Car_Sales[[#This Row],[Vehicle_Category]])</f>
        <v>Suv</v>
      </c>
      <c r="E127" t="s">
        <v>65</v>
      </c>
      <c r="F127" t="s">
        <v>25</v>
      </c>
      <c r="G127" s="2">
        <v>23500</v>
      </c>
      <c r="H127" s="3" t="str">
        <f ca="1">SUBSTITUTE(Car_Sales[[#This Row],[Sale_Price_Segment]], "K", "000")</f>
        <v>Under $25,000</v>
      </c>
      <c r="I127" t="s">
        <v>368</v>
      </c>
      <c r="J127" t="s">
        <v>369</v>
      </c>
      <c r="K127" t="str">
        <f ca="1">PROPER(Car_Sales[[#This Row],[Dealer_Name]])</f>
        <v>Hyundai Plus</v>
      </c>
      <c r="L127" t="s">
        <v>37</v>
      </c>
      <c r="M127" t="str">
        <f ca="1">PROPER(Car_Sales[[#This Row],[Fuel_Type]])</f>
        <v>Gasoline</v>
      </c>
      <c r="N127" t="s">
        <v>310</v>
      </c>
      <c r="O127" t="s">
        <v>61</v>
      </c>
      <c r="P127">
        <v>42000</v>
      </c>
      <c r="Q127">
        <v>2017</v>
      </c>
      <c r="R127" s="4">
        <f ca="1">DATE(LEFT(Car_Sales[[#This Row],[Sales_Date_A]], 4), RIGHT(Car_Sales[[#This Row],[Sales_Date_A]], 2), 1)</f>
        <v>45505</v>
      </c>
      <c r="S127" s="4">
        <v>45524</v>
      </c>
      <c r="T127" t="s">
        <v>266</v>
      </c>
    </row>
    <row r="128" spans="1:20">
      <c r="A128" t="s">
        <v>32</v>
      </c>
      <c r="B128" t="s">
        <v>33</v>
      </c>
      <c r="C128" t="s">
        <v>34</v>
      </c>
      <c r="D128" t="str">
        <f ca="1">PROPER(Car_Sales[[#This Row],[Vehicle_Category]])</f>
        <v>Sedan</v>
      </c>
      <c r="E128" t="s">
        <v>24</v>
      </c>
      <c r="F128" t="s">
        <v>25</v>
      </c>
      <c r="G128" s="2">
        <v>23200</v>
      </c>
      <c r="H128" s="3" t="str">
        <f ca="1">SUBSTITUTE(Car_Sales[[#This Row],[Sale_Price_Segment]], "K", "000")</f>
        <v>Under $25,000</v>
      </c>
      <c r="I128" t="s">
        <v>35</v>
      </c>
      <c r="J128" t="s">
        <v>36</v>
      </c>
      <c r="K128" t="str">
        <f ca="1">PROPER(Car_Sales[[#This Row],[Dealer_Name]])</f>
        <v>Toyota Center</v>
      </c>
      <c r="L128" t="s">
        <v>37</v>
      </c>
      <c r="M128" t="str">
        <f ca="1">PROPER(Car_Sales[[#This Row],[Fuel_Type]])</f>
        <v>Gasoline</v>
      </c>
      <c r="N128" t="s">
        <v>38</v>
      </c>
      <c r="O128" t="s">
        <v>39</v>
      </c>
      <c r="P128">
        <v>8500</v>
      </c>
      <c r="Q128">
        <v>2022</v>
      </c>
      <c r="R128" s="4">
        <f ca="1">DATE(LEFT(Car_Sales[[#This Row],[Sales_Date_A]], 4), RIGHT(Car_Sales[[#This Row],[Sales_Date_A]], 2), 1)</f>
        <v>45352</v>
      </c>
      <c r="S128" s="4">
        <v>45371</v>
      </c>
      <c r="T128" t="s">
        <v>31</v>
      </c>
    </row>
    <row r="129" spans="1:20">
      <c r="A129" t="s">
        <v>48</v>
      </c>
      <c r="B129" t="s">
        <v>49</v>
      </c>
      <c r="C129" t="s">
        <v>50</v>
      </c>
      <c r="D129" t="str">
        <f ca="1">PROPER(Car_Sales[[#This Row],[Vehicle_Category]])</f>
        <v>Sedan</v>
      </c>
      <c r="E129" t="s">
        <v>24</v>
      </c>
      <c r="F129" t="s">
        <v>25</v>
      </c>
      <c r="G129" s="2">
        <v>22900</v>
      </c>
      <c r="H129" s="3" t="str">
        <f ca="1">SUBSTITUTE(Car_Sales[[#This Row],[Sale_Price_Segment]], "K", "000")</f>
        <v>Under $25,000</v>
      </c>
      <c r="I129" t="s">
        <v>51</v>
      </c>
      <c r="J129" t="s">
        <v>52</v>
      </c>
      <c r="K129" t="str">
        <f ca="1">PROPER(Car_Sales[[#This Row],[Dealer_Name]])</f>
        <v>Hyundai Plus</v>
      </c>
      <c r="L129" t="s">
        <v>37</v>
      </c>
      <c r="M129" t="str">
        <f ca="1">PROPER(Car_Sales[[#This Row],[Fuel_Type]])</f>
        <v>Gasoline</v>
      </c>
      <c r="N129" t="s">
        <v>53</v>
      </c>
      <c r="O129" t="s">
        <v>54</v>
      </c>
      <c r="P129">
        <v>12000</v>
      </c>
      <c r="Q129">
        <v>2022</v>
      </c>
      <c r="R129" s="4">
        <f ca="1">DATE(LEFT(Car_Sales[[#This Row],[Sales_Date_A]], 4), RIGHT(Car_Sales[[#This Row],[Sales_Date_A]], 2), 1)</f>
        <v>45323</v>
      </c>
      <c r="S129" s="4">
        <v>45342</v>
      </c>
      <c r="T129" t="s">
        <v>31</v>
      </c>
    </row>
    <row r="130" spans="1:20">
      <c r="A130" t="s">
        <v>370</v>
      </c>
      <c r="B130" t="s">
        <v>63</v>
      </c>
      <c r="C130" t="s">
        <v>371</v>
      </c>
      <c r="D130" t="str">
        <f ca="1">PROPER(Car_Sales[[#This Row],[Vehicle_Category]])</f>
        <v>Suv</v>
      </c>
      <c r="E130" t="s">
        <v>65</v>
      </c>
      <c r="F130" t="s">
        <v>25</v>
      </c>
      <c r="G130" s="2">
        <v>22900</v>
      </c>
      <c r="H130" s="3" t="str">
        <f ca="1">SUBSTITUTE(Car_Sales[[#This Row],[Sale_Price_Segment]], "K", "000")</f>
        <v>Under $25,000</v>
      </c>
      <c r="I130" t="s">
        <v>372</v>
      </c>
      <c r="J130" t="s">
        <v>373</v>
      </c>
      <c r="K130" t="str">
        <f ca="1">PROPER(Car_Sales[[#This Row],[Dealer_Name]])</f>
        <v>Jeep Nation</v>
      </c>
      <c r="L130" t="s">
        <v>68</v>
      </c>
      <c r="M130" t="str">
        <f ca="1">PROPER(Car_Sales[[#This Row],[Fuel_Type]])</f>
        <v>Gasoline</v>
      </c>
      <c r="N130" t="s">
        <v>374</v>
      </c>
      <c r="O130" t="s">
        <v>47</v>
      </c>
      <c r="P130">
        <v>45000</v>
      </c>
      <c r="Q130">
        <v>2016</v>
      </c>
      <c r="R130" s="4">
        <f ca="1">DATE(LEFT(Car_Sales[[#This Row],[Sales_Date_A]], 4), RIGHT(Car_Sales[[#This Row],[Sales_Date_A]], 2), 1)</f>
        <v>45505</v>
      </c>
      <c r="S130" s="4">
        <v>45524</v>
      </c>
      <c r="T130" t="s">
        <v>266</v>
      </c>
    </row>
    <row r="131" spans="1:20">
      <c r="A131" t="s">
        <v>440</v>
      </c>
      <c r="B131" t="s">
        <v>72</v>
      </c>
      <c r="C131" t="s">
        <v>441</v>
      </c>
      <c r="D131" t="str">
        <f ca="1">PROPER(Car_Sales[[#This Row],[Vehicle_Category]])</f>
        <v>Suv</v>
      </c>
      <c r="E131" t="s">
        <v>65</v>
      </c>
      <c r="F131" t="s">
        <v>25</v>
      </c>
      <c r="G131" s="2">
        <v>22900</v>
      </c>
      <c r="H131" s="3" t="str">
        <f ca="1">SUBSTITUTE(Car_Sales[[#This Row],[Sale_Price_Segment]], "K", "000")</f>
        <v>Under $25,000</v>
      </c>
      <c r="I131" t="s">
        <v>442</v>
      </c>
      <c r="J131" t="s">
        <v>443</v>
      </c>
      <c r="K131" t="str">
        <f ca="1">PROPER(Car_Sales[[#This Row],[Dealer_Name]])</f>
        <v>Ford Country</v>
      </c>
      <c r="L131" t="s">
        <v>78</v>
      </c>
      <c r="M131" t="str">
        <f ca="1">PROPER(Car_Sales[[#This Row],[Fuel_Type]])</f>
        <v>Gasoline</v>
      </c>
      <c r="N131" t="s">
        <v>444</v>
      </c>
      <c r="O131" t="s">
        <v>39</v>
      </c>
      <c r="P131">
        <v>19000</v>
      </c>
      <c r="Q131">
        <v>2021</v>
      </c>
      <c r="R131" s="4">
        <f ca="1">DATE(LEFT(Car_Sales[[#This Row],[Sales_Date_A]], 4), RIGHT(Car_Sales[[#This Row],[Sales_Date_A]], 2), 1)</f>
        <v>45536</v>
      </c>
      <c r="S131" s="4">
        <v>45555</v>
      </c>
      <c r="T131" t="s">
        <v>266</v>
      </c>
    </row>
    <row r="132" spans="1:20">
      <c r="A132" t="s">
        <v>404</v>
      </c>
      <c r="B132" t="s">
        <v>63</v>
      </c>
      <c r="C132" t="s">
        <v>405</v>
      </c>
      <c r="D132" t="str">
        <f ca="1">PROPER(Car_Sales[[#This Row],[Vehicle_Category]])</f>
        <v>Suv</v>
      </c>
      <c r="E132" t="s">
        <v>65</v>
      </c>
      <c r="F132" t="s">
        <v>25</v>
      </c>
      <c r="G132" s="2">
        <v>21900</v>
      </c>
      <c r="H132" s="3" t="str">
        <f ca="1">SUBSTITUTE(Car_Sales[[#This Row],[Sale_Price_Segment]], "K", "000")</f>
        <v>Under $25,000</v>
      </c>
      <c r="I132" t="s">
        <v>406</v>
      </c>
      <c r="J132" t="s">
        <v>407</v>
      </c>
      <c r="K132" t="str">
        <f ca="1">PROPER(Car_Sales[[#This Row],[Dealer_Name]])</f>
        <v>Jeep Nation</v>
      </c>
      <c r="L132" t="s">
        <v>68</v>
      </c>
      <c r="M132" t="str">
        <f ca="1">PROPER(Car_Sales[[#This Row],[Fuel_Type]])</f>
        <v>Gasoline</v>
      </c>
      <c r="N132" t="s">
        <v>60</v>
      </c>
      <c r="O132" t="s">
        <v>150</v>
      </c>
      <c r="P132">
        <v>34000</v>
      </c>
      <c r="Q132">
        <v>2018</v>
      </c>
      <c r="R132" s="4">
        <f ca="1">DATE(LEFT(Car_Sales[[#This Row],[Sales_Date_A]], 4), RIGHT(Car_Sales[[#This Row],[Sales_Date_A]], 2), 1)</f>
        <v>45536</v>
      </c>
      <c r="S132" s="4">
        <v>45555</v>
      </c>
      <c r="T132" t="s">
        <v>266</v>
      </c>
    </row>
    <row r="133" spans="1:20">
      <c r="A133" t="s">
        <v>463</v>
      </c>
      <c r="B133" t="s">
        <v>41</v>
      </c>
      <c r="C133" t="s">
        <v>464</v>
      </c>
      <c r="D133" t="str">
        <f ca="1">PROPER(Car_Sales[[#This Row],[Vehicle_Category]])</f>
        <v>Suv</v>
      </c>
      <c r="E133" t="s">
        <v>65</v>
      </c>
      <c r="F133" t="s">
        <v>25</v>
      </c>
      <c r="G133" s="2">
        <v>21800</v>
      </c>
      <c r="H133" s="3" t="str">
        <f ca="1">SUBSTITUTE(Car_Sales[[#This Row],[Sale_Price_Segment]], "K", "000")</f>
        <v>Under $25,000</v>
      </c>
      <c r="I133" t="s">
        <v>465</v>
      </c>
      <c r="J133" t="s">
        <v>466</v>
      </c>
      <c r="K133" t="str">
        <f ca="1">PROPER(Car_Sales[[#This Row],[Dealer_Name]])</f>
        <v>Nissan Direct</v>
      </c>
      <c r="L133" t="s">
        <v>68</v>
      </c>
      <c r="M133" t="str">
        <f ca="1">PROPER(Car_Sales[[#This Row],[Fuel_Type]])</f>
        <v>Gasoline</v>
      </c>
      <c r="N133" t="s">
        <v>142</v>
      </c>
      <c r="O133" t="s">
        <v>283</v>
      </c>
      <c r="P133">
        <v>16000</v>
      </c>
      <c r="Q133">
        <v>2022</v>
      </c>
      <c r="R133" s="4">
        <f ca="1">DATE(LEFT(Car_Sales[[#This Row],[Sales_Date_A]], 4), RIGHT(Car_Sales[[#This Row],[Sales_Date_A]], 2), 1)</f>
        <v>45566</v>
      </c>
      <c r="S133" s="4">
        <v>45585</v>
      </c>
      <c r="T133" t="s">
        <v>458</v>
      </c>
    </row>
    <row r="134" spans="1:20">
      <c r="A134" t="s">
        <v>420</v>
      </c>
      <c r="B134" t="s">
        <v>21</v>
      </c>
      <c r="C134" t="s">
        <v>421</v>
      </c>
      <c r="D134" t="str">
        <f ca="1">PROPER(Car_Sales[[#This Row],[Vehicle_Category]])</f>
        <v>Sedan</v>
      </c>
      <c r="E134" t="s">
        <v>24</v>
      </c>
      <c r="F134" t="s">
        <v>25</v>
      </c>
      <c r="G134" s="2">
        <v>19900</v>
      </c>
      <c r="H134" s="3" t="str">
        <f ca="1">SUBSTITUTE(Car_Sales[[#This Row],[Sale_Price_Segment]], "K", "000")</f>
        <v>Under $25,000</v>
      </c>
      <c r="I134" t="s">
        <v>422</v>
      </c>
      <c r="J134" t="s">
        <v>423</v>
      </c>
      <c r="K134" t="str">
        <f ca="1">PROPER(Car_Sales[[#This Row],[Dealer_Name]])</f>
        <v>Metro Honda</v>
      </c>
      <c r="L134" t="s">
        <v>28</v>
      </c>
      <c r="M134" t="str">
        <f ca="1">PROPER(Car_Sales[[#This Row],[Fuel_Type]])</f>
        <v>Gasoline</v>
      </c>
      <c r="N134" t="s">
        <v>29</v>
      </c>
      <c r="O134" t="s">
        <v>30</v>
      </c>
      <c r="P134">
        <v>21000</v>
      </c>
      <c r="Q134">
        <v>2021</v>
      </c>
      <c r="R134" s="4">
        <f ca="1">DATE(LEFT(Car_Sales[[#This Row],[Sales_Date_A]], 4), RIGHT(Car_Sales[[#This Row],[Sales_Date_A]], 2), 1)</f>
        <v>45536</v>
      </c>
      <c r="S134" s="4">
        <v>45555</v>
      </c>
      <c r="T134" t="s">
        <v>266</v>
      </c>
    </row>
    <row r="135" spans="1:20">
      <c r="A135" t="s">
        <v>275</v>
      </c>
      <c r="B135" t="s">
        <v>49</v>
      </c>
      <c r="C135" t="s">
        <v>276</v>
      </c>
      <c r="D135" t="str">
        <f ca="1">PROPER(Car_Sales[[#This Row],[Vehicle_Category]])</f>
        <v>Sedan</v>
      </c>
      <c r="E135" t="s">
        <v>24</v>
      </c>
      <c r="F135" t="s">
        <v>25</v>
      </c>
      <c r="G135" s="2">
        <v>18900</v>
      </c>
      <c r="H135" s="3" t="str">
        <f ca="1">SUBSTITUTE(Car_Sales[[#This Row],[Sale_Price_Segment]], "K", "000")</f>
        <v>Under $25,000</v>
      </c>
      <c r="I135" t="s">
        <v>277</v>
      </c>
      <c r="J135" t="s">
        <v>278</v>
      </c>
      <c r="K135" t="str">
        <f ca="1">PROPER(Car_Sales[[#This Row],[Dealer_Name]])</f>
        <v>Hyundai Plus</v>
      </c>
      <c r="L135" t="s">
        <v>37</v>
      </c>
      <c r="M135" t="str">
        <f ca="1">PROPER(Car_Sales[[#This Row],[Fuel_Type]])</f>
        <v>Gasoline</v>
      </c>
      <c r="N135" t="s">
        <v>142</v>
      </c>
      <c r="O135" t="s">
        <v>54</v>
      </c>
      <c r="P135">
        <v>14000</v>
      </c>
      <c r="Q135">
        <v>2022</v>
      </c>
      <c r="R135" s="4">
        <f ca="1">DATE(LEFT(Car_Sales[[#This Row],[Sales_Date_A]], 4), RIGHT(Car_Sales[[#This Row],[Sales_Date_A]], 2), 1)</f>
        <v>45474</v>
      </c>
      <c r="S135" s="4">
        <v>45493</v>
      </c>
      <c r="T135" t="s">
        <v>266</v>
      </c>
    </row>
    <row r="136" spans="1:20">
      <c r="A136" t="s">
        <v>424</v>
      </c>
      <c r="B136" t="s">
        <v>33</v>
      </c>
      <c r="C136" t="s">
        <v>425</v>
      </c>
      <c r="D136" t="str">
        <f ca="1">PROPER(Car_Sales[[#This Row],[Vehicle_Category]])</f>
        <v>Sedan</v>
      </c>
      <c r="E136" t="s">
        <v>24</v>
      </c>
      <c r="F136" t="s">
        <v>25</v>
      </c>
      <c r="G136" s="2">
        <v>18500</v>
      </c>
      <c r="H136" s="3" t="str">
        <f ca="1">SUBSTITUTE(Car_Sales[[#This Row],[Sale_Price_Segment]], "K", "000")</f>
        <v>Under $25,000</v>
      </c>
      <c r="I136" t="s">
        <v>426</v>
      </c>
      <c r="J136" t="s">
        <v>427</v>
      </c>
      <c r="K136" t="str">
        <f ca="1">PROPER(Car_Sales[[#This Row],[Dealer_Name]])</f>
        <v>Toyota Center</v>
      </c>
      <c r="L136" t="s">
        <v>37</v>
      </c>
      <c r="M136" t="str">
        <f ca="1">PROPER(Car_Sales[[#This Row],[Fuel_Type]])</f>
        <v>Gasoline</v>
      </c>
      <c r="N136" t="s">
        <v>29</v>
      </c>
      <c r="O136" t="s">
        <v>54</v>
      </c>
      <c r="P136">
        <v>18000</v>
      </c>
      <c r="Q136">
        <v>2022</v>
      </c>
      <c r="R136" s="4">
        <f ca="1">DATE(LEFT(Car_Sales[[#This Row],[Sales_Date_A]], 4), RIGHT(Car_Sales[[#This Row],[Sales_Date_A]], 2), 1)</f>
        <v>45536</v>
      </c>
      <c r="S136" s="4">
        <v>45555</v>
      </c>
      <c r="T136" t="s">
        <v>266</v>
      </c>
    </row>
    <row r="137" spans="1:20">
      <c r="A137" t="s">
        <v>428</v>
      </c>
      <c r="B137" t="s">
        <v>41</v>
      </c>
      <c r="C137" t="s">
        <v>429</v>
      </c>
      <c r="D137" t="str">
        <f ca="1">PROPER(Car_Sales[[#This Row],[Vehicle_Category]])</f>
        <v>Sedan</v>
      </c>
      <c r="E137" t="s">
        <v>24</v>
      </c>
      <c r="F137" t="s">
        <v>25</v>
      </c>
      <c r="G137" s="2">
        <v>17800</v>
      </c>
      <c r="H137" s="3" t="str">
        <f ca="1">SUBSTITUTE(Car_Sales[[#This Row],[Sale_Price_Segment]], "K", "000")</f>
        <v>Under $25,000</v>
      </c>
      <c r="I137" t="s">
        <v>430</v>
      </c>
      <c r="J137" t="s">
        <v>431</v>
      </c>
      <c r="K137" t="str">
        <f ca="1">PROPER(Car_Sales[[#This Row],[Dealer_Name]])</f>
        <v>Nissan Direct</v>
      </c>
      <c r="L137" t="s">
        <v>68</v>
      </c>
      <c r="M137" t="str">
        <f ca="1">PROPER(Car_Sales[[#This Row],[Fuel_Type]])</f>
        <v>Gasoline</v>
      </c>
      <c r="N137" t="s">
        <v>142</v>
      </c>
      <c r="O137" t="s">
        <v>47</v>
      </c>
      <c r="P137">
        <v>16000</v>
      </c>
      <c r="Q137">
        <v>2022</v>
      </c>
      <c r="R137" s="4">
        <f ca="1">DATE(LEFT(Car_Sales[[#This Row],[Sales_Date_A]], 4), RIGHT(Car_Sales[[#This Row],[Sales_Date_A]], 2), 1)</f>
        <v>45536</v>
      </c>
      <c r="S137" s="4">
        <v>45555</v>
      </c>
      <c r="T137" t="s">
        <v>266</v>
      </c>
    </row>
    <row r="138" spans="1:20">
      <c r="A138" t="s">
        <v>445</v>
      </c>
      <c r="B138" t="s">
        <v>81</v>
      </c>
      <c r="C138" t="s">
        <v>446</v>
      </c>
      <c r="D138" t="str">
        <f ca="1">PROPER(Car_Sales[[#This Row],[Vehicle_Category]])</f>
        <v>Sedan</v>
      </c>
      <c r="E138" t="s">
        <v>24</v>
      </c>
      <c r="F138" t="s">
        <v>25</v>
      </c>
      <c r="G138" s="2">
        <v>16500</v>
      </c>
      <c r="H138" s="3" t="str">
        <f ca="1">SUBSTITUTE(Car_Sales[[#This Row],[Sale_Price_Segment]], "K", "000")</f>
        <v>Under $25,000</v>
      </c>
      <c r="I138" t="s">
        <v>447</v>
      </c>
      <c r="J138" t="s">
        <v>448</v>
      </c>
      <c r="K138" t="str">
        <f ca="1">PROPER(Car_Sales[[#This Row],[Dealer_Name]])</f>
        <v>Chevy World</v>
      </c>
      <c r="L138" t="s">
        <v>78</v>
      </c>
      <c r="M138" t="str">
        <f ca="1">PROPER(Car_Sales[[#This Row],[Fuel_Type]])</f>
        <v>Gasoline</v>
      </c>
      <c r="N138" t="s">
        <v>120</v>
      </c>
      <c r="O138" t="s">
        <v>54</v>
      </c>
      <c r="P138">
        <v>15000</v>
      </c>
      <c r="Q138">
        <v>2022</v>
      </c>
      <c r="R138" s="4">
        <f ca="1">DATE(LEFT(Car_Sales[[#This Row],[Sales_Date_A]], 4), RIGHT(Car_Sales[[#This Row],[Sales_Date_A]], 2), 1)</f>
        <v>45536</v>
      </c>
      <c r="S138" s="4">
        <v>45555</v>
      </c>
      <c r="T138" t="s">
        <v>266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D738-232B-4004-8CDC-86D41843A9F9}">
  <dimension ref="A1:S9"/>
  <sheetViews>
    <sheetView tabSelected="1" workbookViewId="0">
      <selection activeCell="F7" sqref="F7"/>
    </sheetView>
  </sheetViews>
  <sheetFormatPr defaultRowHeight="15"/>
  <cols>
    <col min="1" max="1" width="37" customWidth="1"/>
    <col min="2" max="2" width="74.5703125" customWidth="1"/>
  </cols>
  <sheetData>
    <row r="1" spans="1:19" ht="21">
      <c r="A1" s="15" t="s">
        <v>639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4" spans="1:19">
      <c r="A4" s="16" t="s">
        <v>641</v>
      </c>
      <c r="B4" s="16" t="s">
        <v>640</v>
      </c>
    </row>
    <row r="5" spans="1:19">
      <c r="A5" s="16" t="s">
        <v>642</v>
      </c>
      <c r="B5" s="6" t="s">
        <v>643</v>
      </c>
    </row>
    <row r="6" spans="1:19" ht="150">
      <c r="A6" s="18" t="s">
        <v>644</v>
      </c>
      <c r="B6" s="19" t="s">
        <v>645</v>
      </c>
    </row>
    <row r="7" spans="1:19" ht="168.75">
      <c r="A7" s="18" t="s">
        <v>646</v>
      </c>
      <c r="B7" s="20" t="s">
        <v>647</v>
      </c>
    </row>
    <row r="8" spans="1:19" ht="30">
      <c r="A8" t="s">
        <v>648</v>
      </c>
      <c r="B8" s="17" t="s">
        <v>649</v>
      </c>
    </row>
    <row r="9" spans="1:19">
      <c r="A9" t="s">
        <v>650</v>
      </c>
      <c r="B9" t="s">
        <v>651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A6D8-8204-4BC5-A7B9-E66FE9EA757C}">
  <dimension ref="A1:G91"/>
  <sheetViews>
    <sheetView topLeftCell="A77" zoomScale="114" zoomScaleNormal="92" workbookViewId="0">
      <selection activeCell="M97" sqref="M97"/>
    </sheetView>
  </sheetViews>
  <sheetFormatPr defaultRowHeight="15"/>
  <cols>
    <col min="1" max="1" width="13.140625" bestFit="1" customWidth="1"/>
    <col min="2" max="2" width="18.42578125" bestFit="1" customWidth="1"/>
    <col min="3" max="3" width="20.42578125" bestFit="1" customWidth="1"/>
    <col min="4" max="81" width="11.28515625" bestFit="1" customWidth="1"/>
    <col min="82" max="87" width="12.42578125" bestFit="1" customWidth="1"/>
    <col min="88" max="88" width="13.5703125" bestFit="1" customWidth="1"/>
    <col min="89" max="96" width="10.5703125" bestFit="1" customWidth="1"/>
    <col min="97" max="97" width="11.5703125" bestFit="1" customWidth="1"/>
    <col min="98" max="98" width="11.85546875" bestFit="1" customWidth="1"/>
    <col min="99" max="100" width="10.5703125" bestFit="1" customWidth="1"/>
    <col min="101" max="101" width="13.7109375" bestFit="1" customWidth="1"/>
    <col min="102" max="102" width="11.5703125" bestFit="1" customWidth="1"/>
    <col min="103" max="104" width="10.5703125" bestFit="1" customWidth="1"/>
    <col min="105" max="105" width="12.85546875" bestFit="1" customWidth="1"/>
    <col min="106" max="132" width="10.5703125" bestFit="1" customWidth="1"/>
    <col min="133" max="133" width="12.28515625" bestFit="1" customWidth="1"/>
    <col min="134" max="134" width="7.85546875" bestFit="1" customWidth="1"/>
    <col min="135" max="135" width="4.140625" bestFit="1" customWidth="1"/>
    <col min="136" max="137" width="7.85546875" bestFit="1" customWidth="1"/>
    <col min="138" max="139" width="7" bestFit="1" customWidth="1"/>
    <col min="140" max="140" width="6.85546875" bestFit="1" customWidth="1"/>
    <col min="141" max="141" width="5.5703125" bestFit="1" customWidth="1"/>
    <col min="142" max="142" width="7.85546875" bestFit="1" customWidth="1"/>
    <col min="143" max="143" width="7.140625" bestFit="1" customWidth="1"/>
    <col min="144" max="144" width="8.42578125" bestFit="1" customWidth="1"/>
    <col min="145" max="145" width="6.42578125" bestFit="1" customWidth="1"/>
    <col min="146" max="146" width="4.5703125" bestFit="1" customWidth="1"/>
    <col min="147" max="147" width="7.140625" bestFit="1" customWidth="1"/>
    <col min="148" max="148" width="12.28515625" bestFit="1" customWidth="1"/>
    <col min="149" max="149" width="5.28515625" bestFit="1" customWidth="1"/>
    <col min="150" max="150" width="7.7109375" bestFit="1" customWidth="1"/>
    <col min="151" max="151" width="6.5703125" bestFit="1" customWidth="1"/>
    <col min="152" max="152" width="9.5703125" bestFit="1" customWidth="1"/>
    <col min="153" max="153" width="5.28515625" bestFit="1" customWidth="1"/>
    <col min="154" max="154" width="5.140625" bestFit="1" customWidth="1"/>
    <col min="155" max="155" width="6.7109375" bestFit="1" customWidth="1"/>
    <col min="156" max="156" width="11.85546875" bestFit="1" customWidth="1"/>
    <col min="157" max="157" width="8.85546875" bestFit="1" customWidth="1"/>
    <col min="158" max="158" width="7.28515625" bestFit="1" customWidth="1"/>
    <col min="159" max="159" width="8.7109375" bestFit="1" customWidth="1"/>
    <col min="160" max="160" width="12.140625" bestFit="1" customWidth="1"/>
    <col min="161" max="161" width="9.42578125" bestFit="1" customWidth="1"/>
    <col min="162" max="162" width="6" bestFit="1" customWidth="1"/>
    <col min="163" max="163" width="5.28515625" bestFit="1" customWidth="1"/>
    <col min="164" max="164" width="10.5703125" bestFit="1" customWidth="1"/>
    <col min="165" max="165" width="8.7109375" bestFit="1" customWidth="1"/>
    <col min="166" max="166" width="5.28515625" bestFit="1" customWidth="1"/>
    <col min="167" max="167" width="7.140625" bestFit="1" customWidth="1"/>
    <col min="168" max="168" width="9" bestFit="1" customWidth="1"/>
    <col min="169" max="169" width="8.42578125" bestFit="1" customWidth="1"/>
    <col min="170" max="170" width="10" bestFit="1" customWidth="1"/>
    <col min="171" max="171" width="8.140625" bestFit="1" customWidth="1"/>
    <col min="172" max="172" width="7" bestFit="1" customWidth="1"/>
    <col min="173" max="173" width="9.42578125" bestFit="1" customWidth="1"/>
    <col min="174" max="174" width="8.42578125" bestFit="1" customWidth="1"/>
    <col min="175" max="175" width="7.7109375" bestFit="1" customWidth="1"/>
    <col min="176" max="176" width="5.7109375" bestFit="1" customWidth="1"/>
    <col min="177" max="177" width="3.28515625" bestFit="1" customWidth="1"/>
    <col min="178" max="178" width="9.42578125" bestFit="1" customWidth="1"/>
    <col min="179" max="179" width="8.140625" bestFit="1" customWidth="1"/>
    <col min="180" max="180" width="12" bestFit="1" customWidth="1"/>
    <col min="181" max="181" width="9.28515625" bestFit="1" customWidth="1"/>
    <col min="182" max="182" width="5.5703125" bestFit="1" customWidth="1"/>
    <col min="183" max="183" width="15.5703125" bestFit="1" customWidth="1"/>
    <col min="184" max="184" width="16.85546875" bestFit="1" customWidth="1"/>
    <col min="185" max="185" width="16.28515625" bestFit="1" customWidth="1"/>
    <col min="186" max="186" width="5.28515625" bestFit="1" customWidth="1"/>
    <col min="187" max="187" width="10.7109375" bestFit="1" customWidth="1"/>
    <col min="188" max="188" width="5.42578125" bestFit="1" customWidth="1"/>
    <col min="189" max="190" width="2.5703125" bestFit="1" customWidth="1"/>
    <col min="191" max="191" width="7" bestFit="1" customWidth="1"/>
    <col min="192" max="192" width="5.5703125" bestFit="1" customWidth="1"/>
    <col min="193" max="193" width="7.85546875" bestFit="1" customWidth="1"/>
    <col min="194" max="194" width="2.7109375" bestFit="1" customWidth="1"/>
    <col min="195" max="196" width="5.42578125" bestFit="1" customWidth="1"/>
    <col min="197" max="197" width="4.7109375" bestFit="1" customWidth="1"/>
    <col min="199" max="199" width="3.85546875" bestFit="1" customWidth="1"/>
    <col min="200" max="200" width="7.28515625" bestFit="1" customWidth="1"/>
    <col min="202" max="202" width="8.140625" bestFit="1" customWidth="1"/>
    <col min="203" max="203" width="5.7109375" bestFit="1" customWidth="1"/>
    <col min="204" max="204" width="8.28515625" bestFit="1" customWidth="1"/>
    <col min="205" max="205" width="8.5703125" bestFit="1" customWidth="1"/>
    <col min="206" max="206" width="8.28515625" bestFit="1" customWidth="1"/>
    <col min="207" max="208" width="8.42578125" bestFit="1" customWidth="1"/>
    <col min="209" max="209" width="8.28515625" bestFit="1" customWidth="1"/>
    <col min="210" max="210" width="8" bestFit="1" customWidth="1"/>
    <col min="211" max="211" width="8.7109375" bestFit="1" customWidth="1"/>
    <col min="212" max="213" width="8.42578125" bestFit="1" customWidth="1"/>
    <col min="214" max="214" width="8.5703125" bestFit="1" customWidth="1"/>
    <col min="215" max="215" width="10.42578125" bestFit="1" customWidth="1"/>
    <col min="216" max="216" width="7" bestFit="1" customWidth="1"/>
    <col min="217" max="217" width="5.140625" bestFit="1" customWidth="1"/>
    <col min="218" max="218" width="5.42578125" bestFit="1" customWidth="1"/>
    <col min="219" max="219" width="8" bestFit="1" customWidth="1"/>
    <col min="220" max="220" width="5.42578125" bestFit="1" customWidth="1"/>
    <col min="221" max="221" width="9" bestFit="1" customWidth="1"/>
    <col min="222" max="222" width="6" bestFit="1" customWidth="1"/>
    <col min="223" max="223" width="6.28515625" bestFit="1" customWidth="1"/>
    <col min="224" max="224" width="7.140625" bestFit="1" customWidth="1"/>
    <col min="225" max="225" width="5.7109375" bestFit="1" customWidth="1"/>
    <col min="226" max="226" width="9.85546875" bestFit="1" customWidth="1"/>
    <col min="227" max="227" width="9.42578125" bestFit="1" customWidth="1"/>
    <col min="228" max="228" width="8.85546875" bestFit="1" customWidth="1"/>
    <col min="229" max="229" width="11.85546875" bestFit="1" customWidth="1"/>
    <col min="230" max="230" width="6.5703125" bestFit="1" customWidth="1"/>
    <col min="231" max="231" width="8.42578125" bestFit="1" customWidth="1"/>
    <col min="232" max="232" width="13.7109375" bestFit="1" customWidth="1"/>
    <col min="233" max="233" width="5.42578125" bestFit="1" customWidth="1"/>
    <col min="234" max="234" width="6.7109375" bestFit="1" customWidth="1"/>
    <col min="235" max="235" width="8.140625" bestFit="1" customWidth="1"/>
    <col min="236" max="236" width="12.85546875" bestFit="1" customWidth="1"/>
    <col min="237" max="237" width="7" bestFit="1" customWidth="1"/>
    <col min="238" max="238" width="9.28515625" bestFit="1" customWidth="1"/>
    <col min="239" max="239" width="7" bestFit="1" customWidth="1"/>
    <col min="240" max="240" width="5.85546875" bestFit="1" customWidth="1"/>
    <col min="241" max="241" width="9.42578125" bestFit="1" customWidth="1"/>
    <col min="242" max="242" width="6" bestFit="1" customWidth="1"/>
    <col min="243" max="243" width="7.7109375" bestFit="1" customWidth="1"/>
    <col min="244" max="244" width="6.42578125" bestFit="1" customWidth="1"/>
    <col min="245" max="245" width="5.42578125" bestFit="1" customWidth="1"/>
    <col min="246" max="246" width="10.28515625" bestFit="1" customWidth="1"/>
    <col min="247" max="247" width="7" bestFit="1" customWidth="1"/>
    <col min="248" max="248" width="8.5703125" bestFit="1" customWidth="1"/>
    <col min="249" max="249" width="7.140625" bestFit="1" customWidth="1"/>
    <col min="250" max="250" width="6.85546875" bestFit="1" customWidth="1"/>
    <col min="251" max="251" width="8.5703125" bestFit="1" customWidth="1"/>
    <col min="252" max="252" width="6.42578125" bestFit="1" customWidth="1"/>
    <col min="253" max="253" width="8.7109375" bestFit="1" customWidth="1"/>
    <col min="254" max="254" width="6" bestFit="1" customWidth="1"/>
    <col min="255" max="255" width="10.28515625" bestFit="1" customWidth="1"/>
    <col min="256" max="256" width="9.28515625" bestFit="1" customWidth="1"/>
    <col min="257" max="259" width="3.140625" bestFit="1" customWidth="1"/>
    <col min="260" max="260" width="6.42578125" bestFit="1" customWidth="1"/>
    <col min="261" max="261" width="5.28515625" bestFit="1" customWidth="1"/>
    <col min="262" max="262" width="2" bestFit="1" customWidth="1"/>
    <col min="263" max="263" width="3.85546875" bestFit="1" customWidth="1"/>
    <col min="264" max="264" width="31.28515625" bestFit="1" customWidth="1"/>
    <col min="265" max="265" width="7.85546875" bestFit="1" customWidth="1"/>
    <col min="266" max="266" width="6" bestFit="1" customWidth="1"/>
    <col min="267" max="268" width="7.85546875" bestFit="1" customWidth="1"/>
    <col min="269" max="270" width="7" bestFit="1" customWidth="1"/>
    <col min="271" max="271" width="6.85546875" bestFit="1" customWidth="1"/>
    <col min="272" max="272" width="6" bestFit="1" customWidth="1"/>
    <col min="273" max="273" width="7.85546875" bestFit="1" customWidth="1"/>
    <col min="274" max="274" width="7.140625" bestFit="1" customWidth="1"/>
    <col min="275" max="275" width="8.42578125" bestFit="1" customWidth="1"/>
    <col min="276" max="276" width="6.42578125" bestFit="1" customWidth="1"/>
    <col min="277" max="277" width="6" bestFit="1" customWidth="1"/>
    <col min="278" max="278" width="7.140625" bestFit="1" customWidth="1"/>
    <col min="279" max="279" width="12.28515625" bestFit="1" customWidth="1"/>
    <col min="280" max="280" width="6" bestFit="1" customWidth="1"/>
    <col min="281" max="281" width="7.7109375" bestFit="1" customWidth="1"/>
    <col min="282" max="282" width="6.5703125" bestFit="1" customWidth="1"/>
    <col min="283" max="283" width="9.5703125" bestFit="1" customWidth="1"/>
    <col min="284" max="285" width="6" bestFit="1" customWidth="1"/>
    <col min="286" max="286" width="6.7109375" bestFit="1" customWidth="1"/>
    <col min="287" max="287" width="11.85546875" bestFit="1" customWidth="1"/>
    <col min="288" max="288" width="8.85546875" bestFit="1" customWidth="1"/>
    <col min="289" max="289" width="7.28515625" bestFit="1" customWidth="1"/>
    <col min="290" max="290" width="8.7109375" bestFit="1" customWidth="1"/>
    <col min="291" max="291" width="12.140625" bestFit="1" customWidth="1"/>
    <col min="292" max="292" width="9.42578125" bestFit="1" customWidth="1"/>
    <col min="293" max="294" width="6" bestFit="1" customWidth="1"/>
    <col min="295" max="295" width="10.5703125" bestFit="1" customWidth="1"/>
    <col min="296" max="296" width="8.7109375" bestFit="1" customWidth="1"/>
    <col min="297" max="297" width="6" bestFit="1" customWidth="1"/>
    <col min="298" max="298" width="7.140625" bestFit="1" customWidth="1"/>
    <col min="299" max="299" width="9" bestFit="1" customWidth="1"/>
    <col min="300" max="300" width="8.42578125" bestFit="1" customWidth="1"/>
    <col min="301" max="301" width="10" bestFit="1" customWidth="1"/>
    <col min="302" max="302" width="8.140625" bestFit="1" customWidth="1"/>
    <col min="303" max="303" width="7" bestFit="1" customWidth="1"/>
    <col min="304" max="304" width="9.42578125" bestFit="1" customWidth="1"/>
    <col min="305" max="305" width="8.42578125" bestFit="1" customWidth="1"/>
    <col min="306" max="306" width="7.7109375" bestFit="1" customWidth="1"/>
    <col min="307" max="308" width="6" bestFit="1" customWidth="1"/>
    <col min="309" max="309" width="9.42578125" bestFit="1" customWidth="1"/>
    <col min="310" max="310" width="8.140625" bestFit="1" customWidth="1"/>
    <col min="311" max="311" width="12" bestFit="1" customWidth="1"/>
    <col min="312" max="312" width="9.28515625" bestFit="1" customWidth="1"/>
    <col min="313" max="313" width="6" bestFit="1" customWidth="1"/>
    <col min="314" max="314" width="15.5703125" bestFit="1" customWidth="1"/>
    <col min="315" max="315" width="16.85546875" bestFit="1" customWidth="1"/>
    <col min="316" max="316" width="16.28515625" bestFit="1" customWidth="1"/>
    <col min="317" max="317" width="7" bestFit="1" customWidth="1"/>
    <col min="318" max="318" width="10.7109375" bestFit="1" customWidth="1"/>
    <col min="319" max="320" width="6" bestFit="1" customWidth="1"/>
    <col min="321" max="322" width="7" bestFit="1" customWidth="1"/>
    <col min="323" max="323" width="6" bestFit="1" customWidth="1"/>
    <col min="324" max="324" width="7.85546875" bestFit="1" customWidth="1"/>
    <col min="325" max="328" width="6" bestFit="1" customWidth="1"/>
    <col min="330" max="330" width="6" bestFit="1" customWidth="1"/>
    <col min="331" max="331" width="7.28515625" bestFit="1" customWidth="1"/>
    <col min="333" max="333" width="8.140625" bestFit="1" customWidth="1"/>
    <col min="334" max="334" width="6" bestFit="1" customWidth="1"/>
    <col min="335" max="335" width="8.28515625" bestFit="1" customWidth="1"/>
    <col min="336" max="336" width="8.5703125" bestFit="1" customWidth="1"/>
    <col min="337" max="337" width="8.28515625" bestFit="1" customWidth="1"/>
    <col min="338" max="339" width="8.42578125" bestFit="1" customWidth="1"/>
    <col min="340" max="340" width="8.28515625" bestFit="1" customWidth="1"/>
    <col min="341" max="341" width="8" bestFit="1" customWidth="1"/>
    <col min="342" max="342" width="8.7109375" bestFit="1" customWidth="1"/>
    <col min="343" max="344" width="8.42578125" bestFit="1" customWidth="1"/>
    <col min="345" max="345" width="8.5703125" bestFit="1" customWidth="1"/>
    <col min="346" max="346" width="10.42578125" bestFit="1" customWidth="1"/>
    <col min="347" max="347" width="7" bestFit="1" customWidth="1"/>
    <col min="348" max="348" width="6" bestFit="1" customWidth="1"/>
    <col min="349" max="349" width="7" bestFit="1" customWidth="1"/>
    <col min="350" max="350" width="8" bestFit="1" customWidth="1"/>
    <col min="351" max="351" width="6" bestFit="1" customWidth="1"/>
    <col min="352" max="352" width="9" bestFit="1" customWidth="1"/>
    <col min="353" max="353" width="6" bestFit="1" customWidth="1"/>
    <col min="354" max="354" width="6.28515625" bestFit="1" customWidth="1"/>
    <col min="355" max="355" width="7.140625" bestFit="1" customWidth="1"/>
    <col min="356" max="356" width="6" bestFit="1" customWidth="1"/>
    <col min="357" max="357" width="9.85546875" bestFit="1" customWidth="1"/>
    <col min="358" max="358" width="9.42578125" bestFit="1" customWidth="1"/>
    <col min="359" max="359" width="8.85546875" bestFit="1" customWidth="1"/>
    <col min="360" max="360" width="11.85546875" bestFit="1" customWidth="1"/>
    <col min="361" max="361" width="6.5703125" bestFit="1" customWidth="1"/>
    <col min="362" max="362" width="8.42578125" bestFit="1" customWidth="1"/>
    <col min="363" max="363" width="13.7109375" bestFit="1" customWidth="1"/>
    <col min="364" max="364" width="7" bestFit="1" customWidth="1"/>
    <col min="365" max="365" width="6.7109375" bestFit="1" customWidth="1"/>
    <col min="366" max="366" width="8.140625" bestFit="1" customWidth="1"/>
    <col min="367" max="367" width="12.85546875" bestFit="1" customWidth="1"/>
    <col min="368" max="368" width="7" bestFit="1" customWidth="1"/>
    <col min="369" max="369" width="9.28515625" bestFit="1" customWidth="1"/>
    <col min="370" max="370" width="7" bestFit="1" customWidth="1"/>
    <col min="371" max="371" width="6" bestFit="1" customWidth="1"/>
    <col min="372" max="372" width="9.42578125" bestFit="1" customWidth="1"/>
    <col min="373" max="373" width="6" bestFit="1" customWidth="1"/>
    <col min="374" max="374" width="7.7109375" bestFit="1" customWidth="1"/>
    <col min="375" max="375" width="6.42578125" bestFit="1" customWidth="1"/>
    <col min="376" max="376" width="6" bestFit="1" customWidth="1"/>
    <col min="377" max="377" width="10.28515625" bestFit="1" customWidth="1"/>
    <col min="378" max="378" width="7" bestFit="1" customWidth="1"/>
    <col min="379" max="379" width="8.5703125" bestFit="1" customWidth="1"/>
    <col min="380" max="380" width="7.140625" bestFit="1" customWidth="1"/>
    <col min="381" max="381" width="6.85546875" bestFit="1" customWidth="1"/>
    <col min="382" max="382" width="8.5703125" bestFit="1" customWidth="1"/>
    <col min="383" max="383" width="6.42578125" bestFit="1" customWidth="1"/>
    <col min="384" max="384" width="8.7109375" bestFit="1" customWidth="1"/>
    <col min="385" max="385" width="6" bestFit="1" customWidth="1"/>
    <col min="386" max="386" width="10.28515625" bestFit="1" customWidth="1"/>
    <col min="387" max="387" width="9.28515625" bestFit="1" customWidth="1"/>
    <col min="388" max="390" width="6" bestFit="1" customWidth="1"/>
    <col min="391" max="391" width="6.42578125" bestFit="1" customWidth="1"/>
    <col min="392" max="394" width="6" bestFit="1" customWidth="1"/>
    <col min="395" max="395" width="22" bestFit="1" customWidth="1"/>
    <col min="396" max="396" width="17.42578125" bestFit="1" customWidth="1"/>
    <col min="397" max="397" width="36.28515625" bestFit="1" customWidth="1"/>
  </cols>
  <sheetData>
    <row r="1" spans="1:4">
      <c r="A1" s="5" t="s">
        <v>11</v>
      </c>
      <c r="B1" t="s">
        <v>625</v>
      </c>
    </row>
    <row r="2" spans="1:4">
      <c r="A2" s="5" t="s">
        <v>3</v>
      </c>
      <c r="B2" t="s">
        <v>625</v>
      </c>
    </row>
    <row r="4" spans="1:4">
      <c r="A4" s="5" t="s">
        <v>626</v>
      </c>
      <c r="B4" t="s">
        <v>638</v>
      </c>
      <c r="C4" t="s">
        <v>628</v>
      </c>
      <c r="D4" t="s">
        <v>629</v>
      </c>
    </row>
    <row r="5" spans="1:4">
      <c r="A5" s="6" t="s">
        <v>85</v>
      </c>
      <c r="B5" s="9">
        <v>770900</v>
      </c>
      <c r="C5" s="10">
        <v>11</v>
      </c>
      <c r="D5" s="11">
        <v>70081.818181818177</v>
      </c>
    </row>
    <row r="6" spans="1:4">
      <c r="A6" s="6" t="s">
        <v>81</v>
      </c>
      <c r="B6" s="9">
        <v>691201</v>
      </c>
      <c r="C6" s="10">
        <v>16</v>
      </c>
      <c r="D6" s="11">
        <v>43200.0625</v>
      </c>
    </row>
    <row r="7" spans="1:4">
      <c r="A7" s="6" t="s">
        <v>72</v>
      </c>
      <c r="B7" s="9">
        <v>585701</v>
      </c>
      <c r="C7" s="10">
        <v>16</v>
      </c>
      <c r="D7" s="11">
        <v>36606.3125</v>
      </c>
    </row>
    <row r="8" spans="1:4">
      <c r="A8" s="6" t="s">
        <v>21</v>
      </c>
      <c r="B8" s="9">
        <v>554300</v>
      </c>
      <c r="C8" s="10">
        <v>17</v>
      </c>
      <c r="D8" s="11">
        <v>32605.882352941175</v>
      </c>
    </row>
    <row r="9" spans="1:4">
      <c r="A9" s="6" t="s">
        <v>49</v>
      </c>
      <c r="B9" s="9">
        <v>576800</v>
      </c>
      <c r="C9" s="10">
        <v>17</v>
      </c>
      <c r="D9" s="11">
        <v>33929.411764705881</v>
      </c>
    </row>
    <row r="10" spans="1:4">
      <c r="A10" s="6" t="s">
        <v>63</v>
      </c>
      <c r="B10" s="9">
        <v>567200</v>
      </c>
      <c r="C10" s="10">
        <v>14</v>
      </c>
      <c r="D10" s="11">
        <v>40514.285714285717</v>
      </c>
    </row>
    <row r="11" spans="1:4">
      <c r="A11" s="6" t="s">
        <v>41</v>
      </c>
      <c r="B11" s="9">
        <v>640500</v>
      </c>
      <c r="C11" s="10">
        <v>17</v>
      </c>
      <c r="D11" s="11">
        <v>37676.470588235294</v>
      </c>
    </row>
    <row r="12" spans="1:4">
      <c r="A12" s="6" t="s">
        <v>91</v>
      </c>
      <c r="B12" s="9">
        <v>1160500</v>
      </c>
      <c r="C12" s="10">
        <v>11</v>
      </c>
      <c r="D12" s="11">
        <v>105500</v>
      </c>
    </row>
    <row r="13" spans="1:4">
      <c r="A13" s="6" t="s">
        <v>33</v>
      </c>
      <c r="B13" s="9">
        <v>655100</v>
      </c>
      <c r="C13" s="10">
        <v>18</v>
      </c>
      <c r="D13" s="11">
        <v>36394.444444444445</v>
      </c>
    </row>
    <row r="14" spans="1:4">
      <c r="A14" s="6" t="s">
        <v>624</v>
      </c>
      <c r="B14" s="9">
        <v>6202202</v>
      </c>
      <c r="C14" s="10">
        <v>137</v>
      </c>
      <c r="D14" s="11">
        <v>45271.547445255477</v>
      </c>
    </row>
    <row r="24" spans="1:2">
      <c r="A24" s="5" t="s">
        <v>3</v>
      </c>
      <c r="B24" t="s">
        <v>625</v>
      </c>
    </row>
    <row r="26" spans="1:2">
      <c r="A26" s="5" t="s">
        <v>1</v>
      </c>
      <c r="B26" t="s">
        <v>631</v>
      </c>
    </row>
    <row r="27" spans="1:2">
      <c r="A27" s="6" t="s">
        <v>85</v>
      </c>
      <c r="B27" s="3">
        <v>11</v>
      </c>
    </row>
    <row r="28" spans="1:2">
      <c r="A28" s="6" t="s">
        <v>81</v>
      </c>
      <c r="B28" s="3">
        <v>16</v>
      </c>
    </row>
    <row r="29" spans="1:2">
      <c r="A29" s="6" t="s">
        <v>72</v>
      </c>
      <c r="B29" s="3">
        <v>16</v>
      </c>
    </row>
    <row r="30" spans="1:2">
      <c r="A30" s="6" t="s">
        <v>21</v>
      </c>
      <c r="B30" s="3">
        <v>17</v>
      </c>
    </row>
    <row r="31" spans="1:2">
      <c r="A31" s="6" t="s">
        <v>49</v>
      </c>
      <c r="B31" s="3">
        <v>17</v>
      </c>
    </row>
    <row r="32" spans="1:2">
      <c r="A32" s="6" t="s">
        <v>63</v>
      </c>
      <c r="B32" s="3">
        <v>14</v>
      </c>
    </row>
    <row r="33" spans="1:2">
      <c r="A33" s="6" t="s">
        <v>41</v>
      </c>
      <c r="B33" s="3">
        <v>17</v>
      </c>
    </row>
    <row r="34" spans="1:2">
      <c r="A34" s="6" t="s">
        <v>91</v>
      </c>
      <c r="B34" s="3">
        <v>11</v>
      </c>
    </row>
    <row r="35" spans="1:2">
      <c r="A35" s="6" t="s">
        <v>33</v>
      </c>
      <c r="B35" s="3">
        <v>18</v>
      </c>
    </row>
    <row r="36" spans="1:2">
      <c r="A36" s="6" t="s">
        <v>624</v>
      </c>
      <c r="B36" s="3">
        <v>137</v>
      </c>
    </row>
    <row r="49" spans="1:7">
      <c r="A49" s="5" t="s">
        <v>631</v>
      </c>
      <c r="B49" s="5" t="s">
        <v>630</v>
      </c>
    </row>
    <row r="50" spans="1:7">
      <c r="A50" s="5" t="s">
        <v>635</v>
      </c>
      <c r="B50" t="s">
        <v>224</v>
      </c>
      <c r="C50" t="s">
        <v>23</v>
      </c>
      <c r="D50" t="s">
        <v>623</v>
      </c>
      <c r="E50" t="s">
        <v>74</v>
      </c>
      <c r="F50" t="s">
        <v>326</v>
      </c>
      <c r="G50" t="s">
        <v>624</v>
      </c>
    </row>
    <row r="51" spans="1:7">
      <c r="A51" s="6" t="s">
        <v>31</v>
      </c>
      <c r="B51" s="3"/>
      <c r="C51" s="3">
        <v>10</v>
      </c>
      <c r="D51" s="3">
        <v>5</v>
      </c>
      <c r="E51" s="3">
        <v>2</v>
      </c>
      <c r="F51" s="3"/>
      <c r="G51" s="3">
        <v>17</v>
      </c>
    </row>
    <row r="52" spans="1:7">
      <c r="A52" s="6" t="s">
        <v>121</v>
      </c>
      <c r="B52" s="3">
        <v>3</v>
      </c>
      <c r="C52" s="3">
        <v>8</v>
      </c>
      <c r="D52" s="3">
        <v>18</v>
      </c>
      <c r="E52" s="3">
        <v>6</v>
      </c>
      <c r="F52" s="3"/>
      <c r="G52" s="3">
        <v>35</v>
      </c>
    </row>
    <row r="53" spans="1:7">
      <c r="A53" s="6" t="s">
        <v>266</v>
      </c>
      <c r="B53" s="3">
        <v>4</v>
      </c>
      <c r="C53" s="3">
        <v>11</v>
      </c>
      <c r="D53" s="3">
        <v>22</v>
      </c>
      <c r="E53" s="3">
        <v>2</v>
      </c>
      <c r="F53" s="3">
        <v>6</v>
      </c>
      <c r="G53" s="3">
        <v>45</v>
      </c>
    </row>
    <row r="54" spans="1:7">
      <c r="A54" s="6" t="s">
        <v>458</v>
      </c>
      <c r="B54" s="3">
        <v>10</v>
      </c>
      <c r="C54" s="3">
        <v>11</v>
      </c>
      <c r="D54" s="3">
        <v>17</v>
      </c>
      <c r="E54" s="3">
        <v>2</v>
      </c>
      <c r="F54" s="3"/>
      <c r="G54" s="3">
        <v>40</v>
      </c>
    </row>
    <row r="55" spans="1:7">
      <c r="A55" s="6" t="s">
        <v>624</v>
      </c>
      <c r="B55" s="3">
        <v>17</v>
      </c>
      <c r="C55" s="3">
        <v>40</v>
      </c>
      <c r="D55" s="3">
        <v>62</v>
      </c>
      <c r="E55" s="3">
        <v>12</v>
      </c>
      <c r="F55" s="3">
        <v>6</v>
      </c>
      <c r="G55" s="3">
        <v>137</v>
      </c>
    </row>
    <row r="67" spans="1:2">
      <c r="A67" s="5" t="s">
        <v>622</v>
      </c>
      <c r="B67" t="s">
        <v>627</v>
      </c>
    </row>
    <row r="68" spans="1:2">
      <c r="A68" s="6" t="s">
        <v>224</v>
      </c>
      <c r="B68" s="2">
        <v>1314901</v>
      </c>
    </row>
    <row r="69" spans="1:2">
      <c r="A69" s="6" t="s">
        <v>23</v>
      </c>
      <c r="B69" s="2">
        <v>1601400</v>
      </c>
    </row>
    <row r="70" spans="1:2">
      <c r="A70" s="6" t="s">
        <v>623</v>
      </c>
      <c r="B70" s="2">
        <v>2433600</v>
      </c>
    </row>
    <row r="71" spans="1:2">
      <c r="A71" s="6" t="s">
        <v>74</v>
      </c>
      <c r="B71" s="2">
        <v>652800</v>
      </c>
    </row>
    <row r="72" spans="1:2">
      <c r="A72" s="6" t="s">
        <v>326</v>
      </c>
      <c r="B72" s="2">
        <v>199501</v>
      </c>
    </row>
    <row r="73" spans="1:2">
      <c r="A73" s="6" t="s">
        <v>624</v>
      </c>
      <c r="B73" s="2">
        <v>6202202</v>
      </c>
    </row>
    <row r="85" spans="1:3">
      <c r="A85" s="5" t="s">
        <v>622</v>
      </c>
      <c r="B85" t="s">
        <v>631</v>
      </c>
      <c r="C85" t="s">
        <v>637</v>
      </c>
    </row>
    <row r="86" spans="1:3">
      <c r="A86" s="6" t="s">
        <v>224</v>
      </c>
      <c r="B86" s="3">
        <v>17</v>
      </c>
      <c r="C86" s="14">
        <v>77347.117647058825</v>
      </c>
    </row>
    <row r="87" spans="1:3">
      <c r="A87" s="6" t="s">
        <v>23</v>
      </c>
      <c r="B87" s="3">
        <v>40</v>
      </c>
      <c r="C87" s="14">
        <v>40035</v>
      </c>
    </row>
    <row r="88" spans="1:3">
      <c r="A88" s="6" t="s">
        <v>623</v>
      </c>
      <c r="B88" s="3">
        <v>62</v>
      </c>
      <c r="C88" s="14">
        <v>39251.612903225803</v>
      </c>
    </row>
    <row r="89" spans="1:3">
      <c r="A89" s="6" t="s">
        <v>74</v>
      </c>
      <c r="B89" s="3">
        <v>12</v>
      </c>
      <c r="C89" s="14">
        <v>54400</v>
      </c>
    </row>
    <row r="90" spans="1:3">
      <c r="A90" s="6" t="s">
        <v>326</v>
      </c>
      <c r="B90" s="3">
        <v>6</v>
      </c>
      <c r="C90" s="14">
        <v>33250.166666666664</v>
      </c>
    </row>
    <row r="91" spans="1:3">
      <c r="A91" s="6" t="s">
        <v>624</v>
      </c>
      <c r="B91" s="3">
        <v>137</v>
      </c>
      <c r="C91" s="14">
        <v>45271.547445255477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6EB-2C88-4969-9CCC-D391E49AFC7E}">
  <dimension ref="A1:E90"/>
  <sheetViews>
    <sheetView topLeftCell="A13" zoomScale="107" workbookViewId="0">
      <selection activeCell="G47" sqref="G47"/>
    </sheetView>
  </sheetViews>
  <sheetFormatPr defaultRowHeight="15"/>
  <cols>
    <col min="1" max="1" width="21.140625" bestFit="1" customWidth="1"/>
    <col min="2" max="2" width="17.85546875" bestFit="1" customWidth="1"/>
    <col min="3" max="3" width="17.42578125" bestFit="1" customWidth="1"/>
    <col min="4" max="4" width="9.140625" bestFit="1" customWidth="1"/>
    <col min="5" max="5" width="12" customWidth="1"/>
    <col min="6" max="6" width="8.7109375" bestFit="1" customWidth="1"/>
    <col min="7" max="7" width="8.140625" bestFit="1" customWidth="1"/>
    <col min="8" max="8" width="8.85546875" bestFit="1" customWidth="1"/>
    <col min="9" max="9" width="9.42578125" bestFit="1" customWidth="1"/>
    <col min="10" max="10" width="9.7109375" bestFit="1" customWidth="1"/>
    <col min="11" max="11" width="9.42578125" bestFit="1" customWidth="1"/>
    <col min="12" max="12" width="9" bestFit="1" customWidth="1"/>
    <col min="14" max="14" width="11.7109375" bestFit="1" customWidth="1"/>
  </cols>
  <sheetData>
    <row r="1" spans="1:2">
      <c r="A1" s="5" t="s">
        <v>18</v>
      </c>
      <c r="B1" t="s">
        <v>625</v>
      </c>
    </row>
    <row r="2" spans="1:2">
      <c r="A2" s="5" t="s">
        <v>3</v>
      </c>
      <c r="B2" t="s">
        <v>636</v>
      </c>
    </row>
    <row r="3" spans="1:2">
      <c r="A3" s="5" t="s">
        <v>4</v>
      </c>
      <c r="B3" t="s">
        <v>625</v>
      </c>
    </row>
    <row r="4" spans="1:2">
      <c r="A4" s="5" t="s">
        <v>12</v>
      </c>
      <c r="B4" t="s">
        <v>625</v>
      </c>
    </row>
    <row r="6" spans="1:2">
      <c r="A6" s="5" t="s">
        <v>635</v>
      </c>
      <c r="B6" t="s">
        <v>627</v>
      </c>
    </row>
    <row r="7" spans="1:2">
      <c r="A7" s="6" t="s">
        <v>31</v>
      </c>
      <c r="B7" s="3">
        <v>515800</v>
      </c>
    </row>
    <row r="8" spans="1:2">
      <c r="A8" s="6" t="s">
        <v>121</v>
      </c>
      <c r="B8" s="3">
        <v>1024800</v>
      </c>
    </row>
    <row r="9" spans="1:2">
      <c r="A9" s="6" t="s">
        <v>266</v>
      </c>
      <c r="B9" s="3">
        <v>1183500</v>
      </c>
    </row>
    <row r="10" spans="1:2">
      <c r="A10" s="6" t="s">
        <v>458</v>
      </c>
      <c r="B10" s="3">
        <v>1310900</v>
      </c>
    </row>
    <row r="11" spans="1:2">
      <c r="A11" s="6" t="s">
        <v>624</v>
      </c>
      <c r="B11" s="3">
        <v>4035000</v>
      </c>
    </row>
    <row r="46" spans="1:5">
      <c r="A46" s="5" t="s">
        <v>631</v>
      </c>
      <c r="B46" s="5" t="s">
        <v>630</v>
      </c>
    </row>
    <row r="47" spans="1:5">
      <c r="A47" s="5" t="s">
        <v>622</v>
      </c>
      <c r="B47" t="s">
        <v>632</v>
      </c>
      <c r="C47" t="s">
        <v>633</v>
      </c>
      <c r="D47" t="s">
        <v>634</v>
      </c>
      <c r="E47" t="s">
        <v>624</v>
      </c>
    </row>
    <row r="48" spans="1:5">
      <c r="A48" s="6" t="s">
        <v>31</v>
      </c>
      <c r="B48" s="3">
        <v>1</v>
      </c>
      <c r="C48" s="3">
        <v>15</v>
      </c>
      <c r="D48" s="3">
        <v>1</v>
      </c>
      <c r="E48" s="3">
        <v>17</v>
      </c>
    </row>
    <row r="49" spans="1:5">
      <c r="A49" s="6" t="s">
        <v>121</v>
      </c>
      <c r="B49" s="3">
        <v>4</v>
      </c>
      <c r="C49" s="3">
        <v>30</v>
      </c>
      <c r="D49" s="3">
        <v>1</v>
      </c>
      <c r="E49" s="3">
        <v>35</v>
      </c>
    </row>
    <row r="50" spans="1:5">
      <c r="A50" s="6" t="s">
        <v>266</v>
      </c>
      <c r="B50" s="3">
        <v>4</v>
      </c>
      <c r="C50" s="3">
        <v>38</v>
      </c>
      <c r="D50" s="3">
        <v>3</v>
      </c>
      <c r="E50" s="3">
        <v>45</v>
      </c>
    </row>
    <row r="51" spans="1:5">
      <c r="A51" s="6" t="s">
        <v>458</v>
      </c>
      <c r="B51" s="3">
        <v>12</v>
      </c>
      <c r="C51" s="3">
        <v>25</v>
      </c>
      <c r="D51" s="3">
        <v>2</v>
      </c>
      <c r="E51" s="3">
        <v>39</v>
      </c>
    </row>
    <row r="52" spans="1:5">
      <c r="A52" s="6" t="s">
        <v>624</v>
      </c>
      <c r="B52" s="3">
        <v>21</v>
      </c>
      <c r="C52" s="3">
        <v>108</v>
      </c>
      <c r="D52" s="3">
        <v>7</v>
      </c>
      <c r="E52" s="3">
        <v>136</v>
      </c>
    </row>
    <row r="68" spans="1:2">
      <c r="A68" s="5" t="s">
        <v>622</v>
      </c>
      <c r="B68" t="s">
        <v>627</v>
      </c>
    </row>
    <row r="69" spans="1:2">
      <c r="A69" s="6" t="s">
        <v>224</v>
      </c>
      <c r="B69" s="3">
        <v>1314901</v>
      </c>
    </row>
    <row r="70" spans="1:2">
      <c r="A70" s="7" t="s">
        <v>121</v>
      </c>
      <c r="B70" s="3">
        <v>121701</v>
      </c>
    </row>
    <row r="71" spans="1:2">
      <c r="A71" s="7" t="s">
        <v>266</v>
      </c>
      <c r="B71" s="3">
        <v>403600</v>
      </c>
    </row>
    <row r="72" spans="1:2">
      <c r="A72" s="7" t="s">
        <v>458</v>
      </c>
      <c r="B72" s="3">
        <v>789600</v>
      </c>
    </row>
    <row r="73" spans="1:2">
      <c r="A73" s="6" t="s">
        <v>23</v>
      </c>
      <c r="B73" s="3">
        <v>1601400</v>
      </c>
    </row>
    <row r="74" spans="1:2">
      <c r="A74" s="7" t="s">
        <v>31</v>
      </c>
      <c r="B74" s="3">
        <v>324500</v>
      </c>
    </row>
    <row r="75" spans="1:2">
      <c r="A75" s="7" t="s">
        <v>121</v>
      </c>
      <c r="B75" s="3">
        <v>279800</v>
      </c>
    </row>
    <row r="76" spans="1:2">
      <c r="A76" s="7" t="s">
        <v>266</v>
      </c>
      <c r="B76" s="3">
        <v>399500</v>
      </c>
    </row>
    <row r="77" spans="1:2">
      <c r="A77" s="7" t="s">
        <v>458</v>
      </c>
      <c r="B77" s="3">
        <v>597600</v>
      </c>
    </row>
    <row r="78" spans="1:2">
      <c r="A78" s="6" t="s">
        <v>623</v>
      </c>
      <c r="B78" s="3">
        <v>2433600</v>
      </c>
    </row>
    <row r="79" spans="1:2">
      <c r="A79" s="7" t="s">
        <v>31</v>
      </c>
      <c r="B79" s="3">
        <v>191300</v>
      </c>
    </row>
    <row r="80" spans="1:2">
      <c r="A80" s="7" t="s">
        <v>121</v>
      </c>
      <c r="B80" s="3">
        <v>745000</v>
      </c>
    </row>
    <row r="81" spans="1:2">
      <c r="A81" s="7" t="s">
        <v>266</v>
      </c>
      <c r="B81" s="3">
        <v>784000</v>
      </c>
    </row>
    <row r="82" spans="1:2">
      <c r="A82" s="7" t="s">
        <v>458</v>
      </c>
      <c r="B82" s="3">
        <v>713300</v>
      </c>
    </row>
    <row r="83" spans="1:2">
      <c r="A83" s="6" t="s">
        <v>74</v>
      </c>
      <c r="B83" s="3">
        <v>652800</v>
      </c>
    </row>
    <row r="84" spans="1:2">
      <c r="A84" s="7" t="s">
        <v>31</v>
      </c>
      <c r="B84" s="3">
        <v>86500</v>
      </c>
    </row>
    <row r="85" spans="1:2">
      <c r="A85" s="7" t="s">
        <v>121</v>
      </c>
      <c r="B85" s="3">
        <v>262100</v>
      </c>
    </row>
    <row r="86" spans="1:2">
      <c r="A86" s="7" t="s">
        <v>266</v>
      </c>
      <c r="B86" s="3">
        <v>223400</v>
      </c>
    </row>
    <row r="87" spans="1:2">
      <c r="A87" s="7" t="s">
        <v>458</v>
      </c>
      <c r="B87" s="3">
        <v>80800</v>
      </c>
    </row>
    <row r="88" spans="1:2">
      <c r="A88" s="6" t="s">
        <v>326</v>
      </c>
      <c r="B88" s="3">
        <v>199501</v>
      </c>
    </row>
    <row r="89" spans="1:2">
      <c r="A89" s="7" t="s">
        <v>266</v>
      </c>
      <c r="B89" s="3">
        <v>199501</v>
      </c>
    </row>
    <row r="90" spans="1:2">
      <c r="A90" s="6" t="s">
        <v>624</v>
      </c>
      <c r="B90" s="3">
        <v>6202202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AB2-B8DF-4C0C-976F-0497ED8937E1}">
  <dimension ref="A1:D82"/>
  <sheetViews>
    <sheetView workbookViewId="0">
      <selection activeCell="Q68" sqref="Q68"/>
    </sheetView>
  </sheetViews>
  <sheetFormatPr defaultRowHeight="15"/>
  <cols>
    <col min="1" max="1" width="16.85546875" bestFit="1" customWidth="1"/>
    <col min="2" max="2" width="19.5703125" bestFit="1" customWidth="1"/>
    <col min="3" max="4" width="13.28515625" bestFit="1" customWidth="1"/>
    <col min="5" max="5" width="3.42578125" bestFit="1" customWidth="1"/>
    <col min="6" max="6" width="11.28515625" bestFit="1" customWidth="1"/>
    <col min="7" max="7" width="17.42578125" bestFit="1" customWidth="1"/>
    <col min="8" max="8" width="6.140625" bestFit="1" customWidth="1"/>
    <col min="9" max="9" width="12" bestFit="1" customWidth="1"/>
    <col min="10" max="10" width="12.7109375" bestFit="1" customWidth="1"/>
    <col min="11" max="11" width="24" bestFit="1" customWidth="1"/>
    <col min="12" max="12" width="12.5703125" bestFit="1" customWidth="1"/>
    <col min="13" max="13" width="11.28515625" bestFit="1" customWidth="1"/>
  </cols>
  <sheetData>
    <row r="1" spans="1:4">
      <c r="A1" s="5" t="s">
        <v>3</v>
      </c>
      <c r="B1" t="s">
        <v>623</v>
      </c>
    </row>
    <row r="3" spans="1:4">
      <c r="A3" s="5" t="s">
        <v>631</v>
      </c>
      <c r="B3" s="5" t="s">
        <v>630</v>
      </c>
    </row>
    <row r="4" spans="1:4">
      <c r="A4" s="5" t="s">
        <v>622</v>
      </c>
      <c r="B4" t="s">
        <v>87</v>
      </c>
      <c r="C4" t="s">
        <v>25</v>
      </c>
      <c r="D4" t="s">
        <v>624</v>
      </c>
    </row>
    <row r="5" spans="1:4">
      <c r="A5" s="6" t="s">
        <v>31</v>
      </c>
      <c r="B5" s="3">
        <v>1</v>
      </c>
      <c r="C5" s="3">
        <v>4</v>
      </c>
      <c r="D5" s="3">
        <v>5</v>
      </c>
    </row>
    <row r="6" spans="1:4">
      <c r="A6" s="6" t="s">
        <v>121</v>
      </c>
      <c r="B6" s="3">
        <v>4</v>
      </c>
      <c r="C6" s="3">
        <v>14</v>
      </c>
      <c r="D6" s="3">
        <v>18</v>
      </c>
    </row>
    <row r="7" spans="1:4">
      <c r="A7" s="6" t="s">
        <v>266</v>
      </c>
      <c r="B7" s="3"/>
      <c r="C7" s="3">
        <v>22</v>
      </c>
      <c r="D7" s="3">
        <v>22</v>
      </c>
    </row>
    <row r="8" spans="1:4">
      <c r="A8" s="6" t="s">
        <v>458</v>
      </c>
      <c r="B8" s="3">
        <v>1</v>
      </c>
      <c r="C8" s="3">
        <v>16</v>
      </c>
      <c r="D8" s="3">
        <v>17</v>
      </c>
    </row>
    <row r="9" spans="1:4">
      <c r="A9" s="6" t="s">
        <v>624</v>
      </c>
      <c r="B9" s="3">
        <v>6</v>
      </c>
      <c r="C9" s="3">
        <v>56</v>
      </c>
      <c r="D9" s="3">
        <v>62</v>
      </c>
    </row>
    <row r="32" spans="1:2">
      <c r="A32" s="5" t="s">
        <v>631</v>
      </c>
      <c r="B32" s="5" t="s">
        <v>630</v>
      </c>
    </row>
    <row r="33" spans="1:4">
      <c r="A33" s="5" t="s">
        <v>622</v>
      </c>
      <c r="B33" t="s">
        <v>87</v>
      </c>
      <c r="C33" t="s">
        <v>25</v>
      </c>
      <c r="D33" t="s">
        <v>624</v>
      </c>
    </row>
    <row r="34" spans="1:4">
      <c r="A34" s="6" t="s">
        <v>31</v>
      </c>
      <c r="B34" s="12">
        <v>2</v>
      </c>
      <c r="C34" s="12">
        <v>15</v>
      </c>
      <c r="D34" s="12">
        <v>17</v>
      </c>
    </row>
    <row r="35" spans="1:4">
      <c r="A35" s="6" t="s">
        <v>121</v>
      </c>
      <c r="B35" s="12">
        <v>8</v>
      </c>
      <c r="C35" s="12">
        <v>27</v>
      </c>
      <c r="D35" s="12">
        <v>35</v>
      </c>
    </row>
    <row r="36" spans="1:4">
      <c r="A36" s="6" t="s">
        <v>266</v>
      </c>
      <c r="B36" s="12">
        <v>7</v>
      </c>
      <c r="C36" s="12">
        <v>38</v>
      </c>
      <c r="D36" s="12">
        <v>45</v>
      </c>
    </row>
    <row r="37" spans="1:4">
      <c r="A37" s="6" t="s">
        <v>458</v>
      </c>
      <c r="B37" s="12">
        <v>5</v>
      </c>
      <c r="C37" s="12">
        <v>35</v>
      </c>
      <c r="D37" s="12">
        <v>40</v>
      </c>
    </row>
    <row r="38" spans="1:4">
      <c r="A38" s="6" t="s">
        <v>624</v>
      </c>
      <c r="B38" s="12">
        <v>22</v>
      </c>
      <c r="C38" s="12">
        <v>115</v>
      </c>
      <c r="D38" s="12">
        <v>137</v>
      </c>
    </row>
    <row r="55" spans="1:2">
      <c r="A55" s="5" t="s">
        <v>3</v>
      </c>
      <c r="B55" t="s">
        <v>623</v>
      </c>
    </row>
    <row r="56" spans="1:2">
      <c r="A56" s="5" t="s">
        <v>5</v>
      </c>
      <c r="B56" t="s">
        <v>25</v>
      </c>
    </row>
    <row r="58" spans="1:2">
      <c r="A58" s="5" t="s">
        <v>622</v>
      </c>
      <c r="B58" t="s">
        <v>631</v>
      </c>
    </row>
    <row r="59" spans="1:2">
      <c r="A59" s="6" t="s">
        <v>78</v>
      </c>
      <c r="B59" s="3">
        <v>14</v>
      </c>
    </row>
    <row r="60" spans="1:2">
      <c r="A60" s="6" t="s">
        <v>28</v>
      </c>
      <c r="B60" s="3">
        <v>7</v>
      </c>
    </row>
    <row r="61" spans="1:2">
      <c r="A61" s="6" t="s">
        <v>68</v>
      </c>
      <c r="B61" s="3">
        <v>20</v>
      </c>
    </row>
    <row r="62" spans="1:2">
      <c r="A62" s="6" t="s">
        <v>37</v>
      </c>
      <c r="B62" s="3">
        <v>15</v>
      </c>
    </row>
    <row r="63" spans="1:2">
      <c r="A63" s="6" t="s">
        <v>624</v>
      </c>
      <c r="B63" s="3">
        <v>56</v>
      </c>
    </row>
    <row r="76" spans="1:4">
      <c r="A76" s="5" t="s">
        <v>627</v>
      </c>
      <c r="B76" s="5" t="s">
        <v>630</v>
      </c>
    </row>
    <row r="77" spans="1:4">
      <c r="A77" s="5" t="s">
        <v>622</v>
      </c>
      <c r="B77" t="s">
        <v>87</v>
      </c>
      <c r="C77" t="s">
        <v>25</v>
      </c>
      <c r="D77" t="s">
        <v>624</v>
      </c>
    </row>
    <row r="78" spans="1:4">
      <c r="A78" s="6" t="s">
        <v>31</v>
      </c>
      <c r="B78" s="8">
        <v>135400</v>
      </c>
      <c r="C78" s="8">
        <v>466900</v>
      </c>
      <c r="D78" s="8">
        <v>602300</v>
      </c>
    </row>
    <row r="79" spans="1:4">
      <c r="A79" s="6" t="s">
        <v>121</v>
      </c>
      <c r="B79" s="8">
        <v>483200</v>
      </c>
      <c r="C79" s="8">
        <v>925401</v>
      </c>
      <c r="D79" s="8">
        <v>1408601</v>
      </c>
    </row>
    <row r="80" spans="1:4">
      <c r="A80" s="6" t="s">
        <v>266</v>
      </c>
      <c r="B80" s="8">
        <v>764300</v>
      </c>
      <c r="C80" s="8">
        <v>1245701</v>
      </c>
      <c r="D80" s="8">
        <v>2010001</v>
      </c>
    </row>
    <row r="81" spans="1:4">
      <c r="A81" s="6" t="s">
        <v>458</v>
      </c>
      <c r="B81" s="8">
        <v>548500</v>
      </c>
      <c r="C81" s="8">
        <v>1632800</v>
      </c>
      <c r="D81" s="8">
        <v>2181300</v>
      </c>
    </row>
    <row r="82" spans="1:4">
      <c r="A82" s="6" t="s">
        <v>624</v>
      </c>
      <c r="B82" s="8">
        <v>1931400</v>
      </c>
      <c r="C82" s="8">
        <v>4270802</v>
      </c>
      <c r="D82" s="8">
        <v>6202202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0B93-9580-4B3C-A7EC-630B2849639E}">
  <dimension ref="A1:B123"/>
  <sheetViews>
    <sheetView topLeftCell="A102" workbookViewId="0">
      <selection activeCell="G138" sqref="G138"/>
    </sheetView>
  </sheetViews>
  <sheetFormatPr defaultRowHeight="15"/>
  <cols>
    <col min="1" max="1" width="13.5703125" bestFit="1" customWidth="1"/>
    <col min="2" max="2" width="18.42578125" bestFit="1" customWidth="1"/>
    <col min="3" max="6" width="12.7109375" bestFit="1" customWidth="1"/>
    <col min="7" max="81" width="10.140625" bestFit="1" customWidth="1"/>
    <col min="82" max="87" width="11.140625" bestFit="1" customWidth="1"/>
    <col min="88" max="88" width="11.28515625" bestFit="1" customWidth="1"/>
  </cols>
  <sheetData>
    <row r="1" spans="1:2">
      <c r="A1" s="5" t="s">
        <v>3</v>
      </c>
      <c r="B1" t="s">
        <v>23</v>
      </c>
    </row>
    <row r="3" spans="1:2">
      <c r="A3" s="5" t="s">
        <v>622</v>
      </c>
      <c r="B3" t="s">
        <v>627</v>
      </c>
    </row>
    <row r="4" spans="1:2">
      <c r="A4" s="6" t="s">
        <v>276</v>
      </c>
      <c r="B4" s="3">
        <v>18900</v>
      </c>
    </row>
    <row r="5" spans="1:2">
      <c r="A5" s="6" t="s">
        <v>446</v>
      </c>
      <c r="B5" s="3">
        <v>16500</v>
      </c>
    </row>
    <row r="6" spans="1:2">
      <c r="A6" s="6" t="s">
        <v>429</v>
      </c>
      <c r="B6" s="3">
        <v>17800</v>
      </c>
    </row>
    <row r="7" spans="1:2">
      <c r="A7" s="6" t="s">
        <v>425</v>
      </c>
      <c r="B7" s="3">
        <v>18500</v>
      </c>
    </row>
    <row r="8" spans="1:2">
      <c r="A8" s="6" t="s">
        <v>624</v>
      </c>
      <c r="B8" s="3">
        <v>71700</v>
      </c>
    </row>
    <row r="43" spans="1:2">
      <c r="A43" s="5" t="s">
        <v>12</v>
      </c>
      <c r="B43" t="s">
        <v>636</v>
      </c>
    </row>
    <row r="45" spans="1:2">
      <c r="A45" s="5" t="s">
        <v>622</v>
      </c>
      <c r="B45" t="s">
        <v>627</v>
      </c>
    </row>
    <row r="46" spans="1:2">
      <c r="A46" s="6" t="s">
        <v>31</v>
      </c>
      <c r="B46" s="2">
        <v>120700</v>
      </c>
    </row>
    <row r="47" spans="1:2">
      <c r="A47" s="6" t="s">
        <v>121</v>
      </c>
      <c r="B47" s="2">
        <v>321100</v>
      </c>
    </row>
    <row r="48" spans="1:2">
      <c r="A48" s="6" t="s">
        <v>266</v>
      </c>
      <c r="B48" s="2">
        <v>640900</v>
      </c>
    </row>
    <row r="49" spans="1:2">
      <c r="A49" s="6" t="s">
        <v>458</v>
      </c>
      <c r="B49" s="2">
        <v>881300</v>
      </c>
    </row>
    <row r="50" spans="1:2">
      <c r="A50" s="6" t="s">
        <v>624</v>
      </c>
      <c r="B50" s="2">
        <v>1964000</v>
      </c>
    </row>
    <row r="68" spans="1:2">
      <c r="A68" s="5" t="s">
        <v>622</v>
      </c>
      <c r="B68" t="s">
        <v>631</v>
      </c>
    </row>
    <row r="69" spans="1:2">
      <c r="A69" s="6" t="s">
        <v>224</v>
      </c>
      <c r="B69" s="3">
        <v>7</v>
      </c>
    </row>
    <row r="70" spans="1:2">
      <c r="A70" s="7" t="s">
        <v>78</v>
      </c>
      <c r="B70" s="3">
        <v>2</v>
      </c>
    </row>
    <row r="71" spans="1:2">
      <c r="A71" s="13" t="s">
        <v>121</v>
      </c>
      <c r="B71" s="3">
        <v>2</v>
      </c>
    </row>
    <row r="72" spans="1:2">
      <c r="A72" s="7" t="s">
        <v>28</v>
      </c>
      <c r="B72" s="3">
        <v>3</v>
      </c>
    </row>
    <row r="73" spans="1:2">
      <c r="A73" s="13" t="s">
        <v>121</v>
      </c>
      <c r="B73" s="3">
        <v>1</v>
      </c>
    </row>
    <row r="74" spans="1:2">
      <c r="A74" s="13" t="s">
        <v>266</v>
      </c>
      <c r="B74" s="3">
        <v>2</v>
      </c>
    </row>
    <row r="75" spans="1:2">
      <c r="A75" s="7" t="s">
        <v>37</v>
      </c>
      <c r="B75" s="3">
        <v>2</v>
      </c>
    </row>
    <row r="76" spans="1:2">
      <c r="A76" s="13" t="s">
        <v>266</v>
      </c>
      <c r="B76" s="3">
        <v>2</v>
      </c>
    </row>
    <row r="77" spans="1:2">
      <c r="A77" s="6" t="s">
        <v>23</v>
      </c>
      <c r="B77" s="3">
        <v>19</v>
      </c>
    </row>
    <row r="78" spans="1:2">
      <c r="A78" s="7" t="s">
        <v>78</v>
      </c>
      <c r="B78" s="3">
        <v>2</v>
      </c>
    </row>
    <row r="79" spans="1:2">
      <c r="A79" s="13" t="s">
        <v>121</v>
      </c>
      <c r="B79" s="3">
        <v>1</v>
      </c>
    </row>
    <row r="80" spans="1:2">
      <c r="A80" s="13" t="s">
        <v>266</v>
      </c>
      <c r="B80" s="3">
        <v>1</v>
      </c>
    </row>
    <row r="81" spans="1:2">
      <c r="A81" s="7" t="s">
        <v>28</v>
      </c>
      <c r="B81" s="3">
        <v>6</v>
      </c>
    </row>
    <row r="82" spans="1:2">
      <c r="A82" s="13" t="s">
        <v>121</v>
      </c>
      <c r="B82" s="3">
        <v>2</v>
      </c>
    </row>
    <row r="83" spans="1:2">
      <c r="A83" s="13" t="s">
        <v>266</v>
      </c>
      <c r="B83" s="3">
        <v>4</v>
      </c>
    </row>
    <row r="84" spans="1:2">
      <c r="A84" s="7" t="s">
        <v>68</v>
      </c>
      <c r="B84" s="3">
        <v>3</v>
      </c>
    </row>
    <row r="85" spans="1:2">
      <c r="A85" s="13" t="s">
        <v>121</v>
      </c>
      <c r="B85" s="3">
        <v>1</v>
      </c>
    </row>
    <row r="86" spans="1:2">
      <c r="A86" s="13" t="s">
        <v>266</v>
      </c>
      <c r="B86" s="3">
        <v>2</v>
      </c>
    </row>
    <row r="87" spans="1:2">
      <c r="A87" s="7" t="s">
        <v>37</v>
      </c>
      <c r="B87" s="3">
        <v>8</v>
      </c>
    </row>
    <row r="88" spans="1:2">
      <c r="A88" s="13" t="s">
        <v>121</v>
      </c>
      <c r="B88" s="3">
        <v>4</v>
      </c>
    </row>
    <row r="89" spans="1:2">
      <c r="A89" s="13" t="s">
        <v>266</v>
      </c>
      <c r="B89" s="3">
        <v>4</v>
      </c>
    </row>
    <row r="90" spans="1:2">
      <c r="A90" s="6" t="s">
        <v>623</v>
      </c>
      <c r="B90" s="3">
        <v>40</v>
      </c>
    </row>
    <row r="91" spans="1:2">
      <c r="A91" s="7" t="s">
        <v>78</v>
      </c>
      <c r="B91" s="3">
        <v>11</v>
      </c>
    </row>
    <row r="92" spans="1:2">
      <c r="A92" s="13" t="s">
        <v>121</v>
      </c>
      <c r="B92" s="3">
        <v>4</v>
      </c>
    </row>
    <row r="93" spans="1:2">
      <c r="A93" s="13" t="s">
        <v>266</v>
      </c>
      <c r="B93" s="3">
        <v>7</v>
      </c>
    </row>
    <row r="94" spans="1:2">
      <c r="A94" s="7" t="s">
        <v>28</v>
      </c>
      <c r="B94" s="3">
        <v>7</v>
      </c>
    </row>
    <row r="95" spans="1:2">
      <c r="A95" s="13" t="s">
        <v>121</v>
      </c>
      <c r="B95" s="3">
        <v>4</v>
      </c>
    </row>
    <row r="96" spans="1:2">
      <c r="A96" s="13" t="s">
        <v>266</v>
      </c>
      <c r="B96" s="3">
        <v>3</v>
      </c>
    </row>
    <row r="97" spans="1:2">
      <c r="A97" s="7" t="s">
        <v>68</v>
      </c>
      <c r="B97" s="3">
        <v>11</v>
      </c>
    </row>
    <row r="98" spans="1:2">
      <c r="A98" s="13" t="s">
        <v>121</v>
      </c>
      <c r="B98" s="3">
        <v>5</v>
      </c>
    </row>
    <row r="99" spans="1:2">
      <c r="A99" s="13" t="s">
        <v>266</v>
      </c>
      <c r="B99" s="3">
        <v>6</v>
      </c>
    </row>
    <row r="100" spans="1:2">
      <c r="A100" s="7" t="s">
        <v>37</v>
      </c>
      <c r="B100" s="3">
        <v>11</v>
      </c>
    </row>
    <row r="101" spans="1:2">
      <c r="A101" s="13" t="s">
        <v>121</v>
      </c>
      <c r="B101" s="3">
        <v>5</v>
      </c>
    </row>
    <row r="102" spans="1:2">
      <c r="A102" s="13" t="s">
        <v>266</v>
      </c>
      <c r="B102" s="3">
        <v>6</v>
      </c>
    </row>
    <row r="103" spans="1:2">
      <c r="A103" s="6" t="s">
        <v>74</v>
      </c>
      <c r="B103" s="3">
        <v>8</v>
      </c>
    </row>
    <row r="104" spans="1:2">
      <c r="A104" s="7" t="s">
        <v>78</v>
      </c>
      <c r="B104" s="3">
        <v>2</v>
      </c>
    </row>
    <row r="105" spans="1:2">
      <c r="A105" s="13" t="s">
        <v>121</v>
      </c>
      <c r="B105" s="3">
        <v>2</v>
      </c>
    </row>
    <row r="106" spans="1:2">
      <c r="A106" s="7" t="s">
        <v>28</v>
      </c>
      <c r="B106" s="3">
        <v>1</v>
      </c>
    </row>
    <row r="107" spans="1:2">
      <c r="A107" s="13" t="s">
        <v>121</v>
      </c>
      <c r="B107" s="3">
        <v>1</v>
      </c>
    </row>
    <row r="108" spans="1:2">
      <c r="A108" s="7" t="s">
        <v>68</v>
      </c>
      <c r="B108" s="3">
        <v>2</v>
      </c>
    </row>
    <row r="109" spans="1:2">
      <c r="A109" s="13" t="s">
        <v>121</v>
      </c>
      <c r="B109" s="3">
        <v>1</v>
      </c>
    </row>
    <row r="110" spans="1:2">
      <c r="A110" s="13" t="s">
        <v>266</v>
      </c>
      <c r="B110" s="3">
        <v>1</v>
      </c>
    </row>
    <row r="111" spans="1:2">
      <c r="A111" s="7" t="s">
        <v>37</v>
      </c>
      <c r="B111" s="3">
        <v>3</v>
      </c>
    </row>
    <row r="112" spans="1:2">
      <c r="A112" s="13" t="s">
        <v>121</v>
      </c>
      <c r="B112" s="3">
        <v>2</v>
      </c>
    </row>
    <row r="113" spans="1:2">
      <c r="A113" s="13" t="s">
        <v>266</v>
      </c>
      <c r="B113" s="3">
        <v>1</v>
      </c>
    </row>
    <row r="114" spans="1:2">
      <c r="A114" s="6" t="s">
        <v>326</v>
      </c>
      <c r="B114" s="3">
        <v>6</v>
      </c>
    </row>
    <row r="115" spans="1:2">
      <c r="A115" s="7" t="s">
        <v>78</v>
      </c>
      <c r="B115" s="3">
        <v>1</v>
      </c>
    </row>
    <row r="116" spans="1:2">
      <c r="A116" s="13" t="s">
        <v>266</v>
      </c>
      <c r="B116" s="3">
        <v>1</v>
      </c>
    </row>
    <row r="117" spans="1:2">
      <c r="A117" s="7" t="s">
        <v>28</v>
      </c>
      <c r="B117" s="3">
        <v>1</v>
      </c>
    </row>
    <row r="118" spans="1:2">
      <c r="A118" s="13" t="s">
        <v>266</v>
      </c>
      <c r="B118" s="3">
        <v>1</v>
      </c>
    </row>
    <row r="119" spans="1:2">
      <c r="A119" s="7" t="s">
        <v>68</v>
      </c>
      <c r="B119" s="3">
        <v>1</v>
      </c>
    </row>
    <row r="120" spans="1:2">
      <c r="A120" s="13" t="s">
        <v>266</v>
      </c>
      <c r="B120" s="3">
        <v>1</v>
      </c>
    </row>
    <row r="121" spans="1:2">
      <c r="A121" s="7" t="s">
        <v>37</v>
      </c>
      <c r="B121" s="3">
        <v>3</v>
      </c>
    </row>
    <row r="122" spans="1:2">
      <c r="A122" s="13" t="s">
        <v>266</v>
      </c>
      <c r="B122" s="3">
        <v>3</v>
      </c>
    </row>
    <row r="123" spans="1:2">
      <c r="A123" s="6" t="s">
        <v>624</v>
      </c>
      <c r="B123" s="3">
        <v>80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Data Cleaning Steps</vt:lpstr>
      <vt:lpstr>Exercise 2 &amp; 3</vt:lpstr>
      <vt:lpstr>Line Charts</vt:lpstr>
      <vt:lpstr>Standard vs Luxury</vt:lpstr>
      <vt:lpstr>Charts for Analysis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Shanzeh Butt</dc:creator>
  <cp:keywords/>
  <dc:description/>
  <cp:lastModifiedBy>Shanzeh Butt</cp:lastModifiedBy>
  <cp:revision/>
  <dcterms:created xsi:type="dcterms:W3CDTF">2025-06-11T20:38:48Z</dcterms:created>
  <dcterms:modified xsi:type="dcterms:W3CDTF">2026-01-02T04:31:12Z</dcterms:modified>
  <cp:category/>
  <cp:contentStatus/>
</cp:coreProperties>
</file>