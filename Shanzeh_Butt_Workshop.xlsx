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hanz\UE_DAB_2025\DAB_2025_Workshops\DAB-week2-workshop\"/>
    </mc:Choice>
  </mc:AlternateContent>
  <xr:revisionPtr revIDLastSave="0" documentId="8_{5720E013-5594-490E-ACA2-EA6DD27F466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  <sheet name="Sheet3" sheetId="3" r:id="rId2"/>
  </sheets>
  <calcPr calcId="191028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6" i="1" l="1"/>
  <c r="F25" i="1"/>
  <c r="F24" i="1"/>
  <c r="F23" i="1"/>
  <c r="F22" i="1"/>
  <c r="G18" i="1"/>
  <c r="G17" i="1"/>
  <c r="F18" i="1"/>
  <c r="F17" i="1"/>
  <c r="E12" i="1"/>
  <c r="D12" i="1"/>
  <c r="C12" i="1"/>
  <c r="F16" i="1"/>
  <c r="E11" i="1"/>
  <c r="D11" i="1"/>
  <c r="C11" i="1"/>
  <c r="F3" i="1"/>
  <c r="F15" i="1" s="1"/>
  <c r="F4" i="1"/>
  <c r="F5" i="1"/>
  <c r="F6" i="1"/>
  <c r="F7" i="1"/>
  <c r="F8" i="1"/>
  <c r="F9" i="1"/>
  <c r="F10" i="1"/>
  <c r="F2" i="1"/>
  <c r="F11" i="1" l="1"/>
</calcChain>
</file>

<file path=xl/sharedStrings.xml><?xml version="1.0" encoding="utf-8"?>
<sst xmlns="http://schemas.openxmlformats.org/spreadsheetml/2006/main" count="47" uniqueCount="30">
  <si>
    <t>Product</t>
  </si>
  <si>
    <t>Category</t>
  </si>
  <si>
    <t>Jan Sales</t>
  </si>
  <si>
    <t>Feb Sales</t>
  </si>
  <si>
    <t>Mar Sales</t>
  </si>
  <si>
    <t>Total</t>
  </si>
  <si>
    <t>Laptop</t>
  </si>
  <si>
    <t>Electronics</t>
  </si>
  <si>
    <t>Smartphone</t>
  </si>
  <si>
    <t>Headphones</t>
  </si>
  <si>
    <t>Desk Chair</t>
  </si>
  <si>
    <t>Furniture</t>
  </si>
  <si>
    <t>Coffee Maker</t>
  </si>
  <si>
    <t>Appliances</t>
  </si>
  <si>
    <t>Blender</t>
  </si>
  <si>
    <t>T-Shirt</t>
  </si>
  <si>
    <t>Clothing</t>
  </si>
  <si>
    <t>Jeans</t>
  </si>
  <si>
    <t>Sneakers</t>
  </si>
  <si>
    <t>Footware</t>
  </si>
  <si>
    <t>Summary</t>
  </si>
  <si>
    <t>Average Monthly Sales</t>
  </si>
  <si>
    <t>Best Month</t>
  </si>
  <si>
    <t>Worst Month</t>
  </si>
  <si>
    <t>Total Sales</t>
  </si>
  <si>
    <t>Average</t>
  </si>
  <si>
    <t>Row Labels</t>
  </si>
  <si>
    <t>Grand Total</t>
  </si>
  <si>
    <t>(blank)</t>
  </si>
  <si>
    <t>Sum of 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</si>
</sst>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Fill="1"/>
    <xf numFmtId="0" fontId="0" fillId="0" borderId="1" xfId="0" applyBorder="1"/>
    <xf numFmtId="164" fontId="0" fillId="0" borderId="1" xfId="0" applyNumberFormat="1" applyBorder="1"/>
    <xf numFmtId="0" fontId="0" fillId="0" borderId="2" xfId="0" applyBorder="1"/>
    <xf numFmtId="164" fontId="0" fillId="0" borderId="3" xfId="0" applyNumberFormat="1" applyBorder="1"/>
    <xf numFmtId="0" fontId="0" fillId="0" borderId="4" xfId="0" applyBorder="1"/>
    <xf numFmtId="0" fontId="0" fillId="0" borderId="5" xfId="0" applyBorder="1"/>
    <xf numFmtId="0" fontId="0" fillId="0" borderId="5" xfId="0" applyBorder="1" applyAlignment="1">
      <alignment wrapText="1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164" fontId="0" fillId="0" borderId="8" xfId="0" applyNumberFormat="1" applyBorder="1"/>
    <xf numFmtId="164" fontId="0" fillId="0" borderId="9" xfId="0" applyNumberFormat="1" applyBorder="1"/>
    <xf numFmtId="164" fontId="0" fillId="0" borderId="0" xfId="0" applyNumberFormat="1"/>
    <xf numFmtId="0" fontId="0" fillId="0" borderId="0" xfId="0" applyFill="1" applyAlignment="1">
      <alignment wrapText="1"/>
    </xf>
    <xf numFmtId="0" fontId="1" fillId="0" borderId="1" xfId="0" applyFont="1" applyBorder="1"/>
    <xf numFmtId="16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1" xfId="0" applyNumberFormat="1" applyFill="1" applyBorder="1"/>
    <xf numFmtId="0" fontId="1" fillId="2" borderId="3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9" tint="0.39994506668294322"/>
        </patternFill>
      </fill>
    </dxf>
    <dxf>
      <numFmt numFmtId="164" formatCode="&quot;$&quot;#,##0.00"/>
    </dxf>
    <dxf>
      <numFmt numFmtId="164" formatCode="&quot;$&quot;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$&quot;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$&quot;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$&quot;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Data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Category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Sheet1!$A$2:$A$10</c:f>
              <c:strCache>
                <c:ptCount val="9"/>
                <c:pt idx="0">
                  <c:v>Laptop</c:v>
                </c:pt>
                <c:pt idx="1">
                  <c:v>Smartphone</c:v>
                </c:pt>
                <c:pt idx="2">
                  <c:v>Headphones</c:v>
                </c:pt>
                <c:pt idx="3">
                  <c:v>Desk Chair</c:v>
                </c:pt>
                <c:pt idx="4">
                  <c:v>Coffee Maker</c:v>
                </c:pt>
                <c:pt idx="5">
                  <c:v>Blender</c:v>
                </c:pt>
                <c:pt idx="6">
                  <c:v>T-Shirt</c:v>
                </c:pt>
                <c:pt idx="7">
                  <c:v>Jeans</c:v>
                </c:pt>
                <c:pt idx="8">
                  <c:v>Sneakers</c:v>
                </c:pt>
              </c:strCache>
            </c:strRef>
          </c:cat>
          <c:val>
            <c:numRef>
              <c:f>Sheet1!$B$2:$B$10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0B-4BC0-B46F-8520A45C1D2D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Jan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Sheet1!$A$2:$A$10</c:f>
              <c:strCache>
                <c:ptCount val="9"/>
                <c:pt idx="0">
                  <c:v>Laptop</c:v>
                </c:pt>
                <c:pt idx="1">
                  <c:v>Smartphone</c:v>
                </c:pt>
                <c:pt idx="2">
                  <c:v>Headphones</c:v>
                </c:pt>
                <c:pt idx="3">
                  <c:v>Desk Chair</c:v>
                </c:pt>
                <c:pt idx="4">
                  <c:v>Coffee Maker</c:v>
                </c:pt>
                <c:pt idx="5">
                  <c:v>Blender</c:v>
                </c:pt>
                <c:pt idx="6">
                  <c:v>T-Shirt</c:v>
                </c:pt>
                <c:pt idx="7">
                  <c:v>Jeans</c:v>
                </c:pt>
                <c:pt idx="8">
                  <c:v>Sneakers</c:v>
                </c:pt>
              </c:strCache>
            </c:strRef>
          </c:cat>
          <c:val>
            <c:numRef>
              <c:f>Sheet1!$C$2:$C$10</c:f>
              <c:numCache>
                <c:formatCode>"$"#,##0.00</c:formatCode>
                <c:ptCount val="9"/>
                <c:pt idx="0">
                  <c:v>1200</c:v>
                </c:pt>
                <c:pt idx="1">
                  <c:v>800</c:v>
                </c:pt>
                <c:pt idx="2">
                  <c:v>150</c:v>
                </c:pt>
                <c:pt idx="3">
                  <c:v>350</c:v>
                </c:pt>
                <c:pt idx="4">
                  <c:v>120</c:v>
                </c:pt>
                <c:pt idx="5">
                  <c:v>80</c:v>
                </c:pt>
                <c:pt idx="6">
                  <c:v>200</c:v>
                </c:pt>
                <c:pt idx="7">
                  <c:v>300</c:v>
                </c:pt>
                <c:pt idx="8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0B-4BC0-B46F-8520A45C1D2D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Feb Sales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Sheet1!$A$2:$A$10</c:f>
              <c:strCache>
                <c:ptCount val="9"/>
                <c:pt idx="0">
                  <c:v>Laptop</c:v>
                </c:pt>
                <c:pt idx="1">
                  <c:v>Smartphone</c:v>
                </c:pt>
                <c:pt idx="2">
                  <c:v>Headphones</c:v>
                </c:pt>
                <c:pt idx="3">
                  <c:v>Desk Chair</c:v>
                </c:pt>
                <c:pt idx="4">
                  <c:v>Coffee Maker</c:v>
                </c:pt>
                <c:pt idx="5">
                  <c:v>Blender</c:v>
                </c:pt>
                <c:pt idx="6">
                  <c:v>T-Shirt</c:v>
                </c:pt>
                <c:pt idx="7">
                  <c:v>Jeans</c:v>
                </c:pt>
                <c:pt idx="8">
                  <c:v>Sneakers</c:v>
                </c:pt>
              </c:strCache>
            </c:strRef>
          </c:cat>
          <c:val>
            <c:numRef>
              <c:f>Sheet1!$D$2:$D$10</c:f>
              <c:numCache>
                <c:formatCode>"$"#,##0.00</c:formatCode>
                <c:ptCount val="9"/>
                <c:pt idx="0">
                  <c:v>1400</c:v>
                </c:pt>
                <c:pt idx="1">
                  <c:v>950</c:v>
                </c:pt>
                <c:pt idx="2">
                  <c:v>200</c:v>
                </c:pt>
                <c:pt idx="3">
                  <c:v>300</c:v>
                </c:pt>
                <c:pt idx="4">
                  <c:v>140</c:v>
                </c:pt>
                <c:pt idx="5">
                  <c:v>100</c:v>
                </c:pt>
                <c:pt idx="6">
                  <c:v>250</c:v>
                </c:pt>
                <c:pt idx="7">
                  <c:v>350</c:v>
                </c:pt>
                <c:pt idx="8">
                  <c:v>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0B-4BC0-B46F-8520A45C1D2D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Mar Sales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Sheet1!$A$2:$A$10</c:f>
              <c:strCache>
                <c:ptCount val="9"/>
                <c:pt idx="0">
                  <c:v>Laptop</c:v>
                </c:pt>
                <c:pt idx="1">
                  <c:v>Smartphone</c:v>
                </c:pt>
                <c:pt idx="2">
                  <c:v>Headphones</c:v>
                </c:pt>
                <c:pt idx="3">
                  <c:v>Desk Chair</c:v>
                </c:pt>
                <c:pt idx="4">
                  <c:v>Coffee Maker</c:v>
                </c:pt>
                <c:pt idx="5">
                  <c:v>Blender</c:v>
                </c:pt>
                <c:pt idx="6">
                  <c:v>T-Shirt</c:v>
                </c:pt>
                <c:pt idx="7">
                  <c:v>Jeans</c:v>
                </c:pt>
                <c:pt idx="8">
                  <c:v>Sneakers</c:v>
                </c:pt>
              </c:strCache>
            </c:strRef>
          </c:cat>
          <c:val>
            <c:numRef>
              <c:f>Sheet1!$E$2:$E$10</c:f>
              <c:numCache>
                <c:formatCode>"$"#,##0.00</c:formatCode>
                <c:ptCount val="9"/>
                <c:pt idx="0">
                  <c:v>1350</c:v>
                </c:pt>
                <c:pt idx="1">
                  <c:v>1100</c:v>
                </c:pt>
                <c:pt idx="2">
                  <c:v>250</c:v>
                </c:pt>
                <c:pt idx="3">
                  <c:v>400</c:v>
                </c:pt>
                <c:pt idx="4">
                  <c:v>160</c:v>
                </c:pt>
                <c:pt idx="5">
                  <c:v>110</c:v>
                </c:pt>
                <c:pt idx="6">
                  <c:v>300</c:v>
                </c:pt>
                <c:pt idx="7">
                  <c:v>400</c:v>
                </c:pt>
                <c:pt idx="8">
                  <c:v>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30B-4BC0-B46F-8520A45C1D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9651903"/>
        <c:axId val="309652895"/>
      </c:barChart>
      <c:catAx>
        <c:axId val="309651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652895"/>
        <c:crosses val="autoZero"/>
        <c:auto val="1"/>
        <c:lblAlgn val="ctr"/>
        <c:lblOffset val="100"/>
        <c:noMultiLvlLbl val="0"/>
      </c:catAx>
      <c:valAx>
        <c:axId val="309652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651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Category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Sheet1!$F$21</c:f>
              <c:strCache>
                <c:ptCount val="1"/>
                <c:pt idx="0">
                  <c:v>Total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8E1E-4B9E-8773-D82DBBA1E35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E1E-4B9E-8773-D82DBBA1E35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8E1E-4B9E-8773-D82DBBA1E35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E1E-4B9E-8773-D82DBBA1E35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E1E-4B9E-8773-D82DBBA1E354}"/>
              </c:ext>
            </c:extLst>
          </c:dPt>
          <c:dLbls>
            <c:dLbl>
              <c:idx val="0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E1E-4B9E-8773-D82DBBA1E354}"/>
                </c:ext>
              </c:extLst>
            </c:dLbl>
            <c:dLbl>
              <c:idx val="1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E1E-4B9E-8773-D82DBBA1E354}"/>
                </c:ext>
              </c:extLst>
            </c:dLbl>
            <c:dLbl>
              <c:idx val="2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E1E-4B9E-8773-D82DBBA1E354}"/>
                </c:ext>
              </c:extLst>
            </c:dLbl>
            <c:dLbl>
              <c:idx val="3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E1E-4B9E-8773-D82DBBA1E354}"/>
                </c:ext>
              </c:extLst>
            </c:dLbl>
            <c:dLbl>
              <c:idx val="4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E1E-4B9E-8773-D82DBBA1E35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Sheet1!$E$22:$E$26</c:f>
              <c:strCache>
                <c:ptCount val="5"/>
                <c:pt idx="0">
                  <c:v>Electronics</c:v>
                </c:pt>
                <c:pt idx="1">
                  <c:v>Furniture</c:v>
                </c:pt>
                <c:pt idx="2">
                  <c:v>Appliances</c:v>
                </c:pt>
                <c:pt idx="3">
                  <c:v>Clothing</c:v>
                </c:pt>
                <c:pt idx="4">
                  <c:v>Footware</c:v>
                </c:pt>
              </c:strCache>
            </c:strRef>
          </c:cat>
          <c:val>
            <c:numRef>
              <c:f>Sheet1!$F$22:$F$26</c:f>
              <c:numCache>
                <c:formatCode>General</c:formatCode>
                <c:ptCount val="5"/>
                <c:pt idx="0">
                  <c:v>7400</c:v>
                </c:pt>
                <c:pt idx="1">
                  <c:v>1050</c:v>
                </c:pt>
                <c:pt idx="2">
                  <c:v>710</c:v>
                </c:pt>
                <c:pt idx="3">
                  <c:v>1800</c:v>
                </c:pt>
                <c:pt idx="4">
                  <c:v>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1E-4B9E-8773-D82DBBA1E3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95248</xdr:colOff>
      <xdr:row>1</xdr:row>
      <xdr:rowOff>19427</xdr:rowOff>
    </xdr:from>
    <xdr:to>
      <xdr:col>10</xdr:col>
      <xdr:colOff>575271</xdr:colOff>
      <xdr:row>16</xdr:row>
      <xdr:rowOff>122599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AF820E-4500-863D-0B95-4363010935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194272</xdr:colOff>
      <xdr:row>18</xdr:row>
      <xdr:rowOff>169753</xdr:rowOff>
    </xdr:from>
    <xdr:to>
      <xdr:col>10</xdr:col>
      <xdr:colOff>612994</xdr:colOff>
      <xdr:row>31</xdr:row>
      <xdr:rowOff>179183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FC180B7-6674-3BD1-A328-647CB15584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nzeh Butt" refreshedDate="46007.652990393515" createdVersion="8" refreshedVersion="8" minRefreshableVersion="3" recordCount="11" xr:uid="{704BCF17-81B6-4260-A3AE-7800C4778714}">
  <cacheSource type="worksheet">
    <worksheetSource name="Table1"/>
  </cacheSource>
  <cacheFields count="6">
    <cacheField name="Product" numFmtId="0">
      <sharedItems/>
    </cacheField>
    <cacheField name="Category" numFmtId="0">
      <sharedItems containsBlank="1" count="6">
        <s v="Electronics"/>
        <s v="Furniture"/>
        <s v="Appliances"/>
        <s v="Clothing"/>
        <s v="Footware"/>
        <m/>
      </sharedItems>
    </cacheField>
    <cacheField name="Jan Sales" numFmtId="164">
      <sharedItems containsSemiMixedTypes="0" containsString="0" containsNumber="1" minValue="80" maxValue="3450"/>
    </cacheField>
    <cacheField name="Feb Sales" numFmtId="164">
      <sharedItems containsSemiMixedTypes="0" containsString="0" containsNumber="1" minValue="100" maxValue="3970"/>
    </cacheField>
    <cacheField name="Mar Sales" numFmtId="164">
      <sharedItems containsSemiMixedTypes="0" containsString="0" containsNumber="1" minValue="110" maxValue="4390"/>
    </cacheField>
    <cacheField name="Total Sales" numFmtId="164">
      <sharedItems containsString="0" containsBlank="1" containsNumber="1" containsInteger="1" minValue="290" maxValue="118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s v="Laptop"/>
    <x v="0"/>
    <n v="1200"/>
    <n v="1400"/>
    <n v="1350"/>
    <n v="3950"/>
  </r>
  <r>
    <s v="Smartphone"/>
    <x v="0"/>
    <n v="800"/>
    <n v="950"/>
    <n v="1100"/>
    <n v="2850"/>
  </r>
  <r>
    <s v="Headphones"/>
    <x v="0"/>
    <n v="150"/>
    <n v="200"/>
    <n v="250"/>
    <n v="600"/>
  </r>
  <r>
    <s v="Desk Chair"/>
    <x v="1"/>
    <n v="350"/>
    <n v="300"/>
    <n v="400"/>
    <n v="1050"/>
  </r>
  <r>
    <s v="Coffee Maker"/>
    <x v="2"/>
    <n v="120"/>
    <n v="140"/>
    <n v="160"/>
    <n v="420"/>
  </r>
  <r>
    <s v="Blender"/>
    <x v="2"/>
    <n v="80"/>
    <n v="100"/>
    <n v="110"/>
    <n v="290"/>
  </r>
  <r>
    <s v="T-Shirt"/>
    <x v="3"/>
    <n v="200"/>
    <n v="250"/>
    <n v="300"/>
    <n v="750"/>
  </r>
  <r>
    <s v="Jeans"/>
    <x v="3"/>
    <n v="300"/>
    <n v="350"/>
    <n v="400"/>
    <n v="1050"/>
  </r>
  <r>
    <s v="Sneakers"/>
    <x v="4"/>
    <n v="250"/>
    <n v="280"/>
    <n v="320"/>
    <n v="850"/>
  </r>
  <r>
    <s v="Total"/>
    <x v="5"/>
    <n v="3450"/>
    <n v="3970"/>
    <n v="4390"/>
    <n v="11810"/>
  </r>
  <r>
    <s v="Average"/>
    <x v="5"/>
    <n v="383.33333333333331"/>
    <n v="441.11111111111109"/>
    <n v="487.77777777777777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5C9414-3C38-4F17-9857-30798B5BB3D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6">
    <pivotField showAll="0"/>
    <pivotField axis="axisRow" showAll="0">
      <items count="7">
        <item x="2"/>
        <item x="3"/>
        <item x="0"/>
        <item x="4"/>
        <item x="1"/>
        <item x="5"/>
        <item t="default"/>
      </items>
    </pivotField>
    <pivotField numFmtId="164" showAll="0"/>
    <pivotField numFmtId="164" showAll="0"/>
    <pivotField numFmtId="164" showAll="0"/>
    <pivotField dataField="1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Sales" fld="5" baseField="0" baseItem="0" numFmtId="164"/>
  </dataFields>
  <formats count="1">
    <format dxfId="1">
      <pivotArea outline="0" collapsedLevelsAreSubtotals="1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8983FC-281D-4B75-8DE7-724AA6B02BA1}" name="Table1" displayName="Table1" ref="A1:F12" totalsRowShown="0" headerRowDxfId="11" headerRowBorderDxfId="10" tableBorderDxfId="9" totalsRowBorderDxfId="8">
  <autoFilter ref="A1:F12" xr:uid="{D28983FC-281D-4B75-8DE7-724AA6B02BA1}"/>
  <tableColumns count="6">
    <tableColumn id="1" xr3:uid="{B75314DB-22BF-43AC-916F-CC899AB09E1B}" name="Product" dataDxfId="7"/>
    <tableColumn id="2" xr3:uid="{ACF11F0B-4510-4C9E-B9EF-889276512373}" name="Category" dataDxfId="6"/>
    <tableColumn id="3" xr3:uid="{98F4C36E-EC51-40E7-A756-76B994028FF2}" name="Jan Sales" dataDxfId="5"/>
    <tableColumn id="4" xr3:uid="{4CFD5D88-73E1-49E1-AB1E-3F3370ABFC52}" name="Feb Sales" dataDxfId="4"/>
    <tableColumn id="5" xr3:uid="{4C199031-CCA1-41C3-8320-AF534F610743}" name="Mar Sales" dataDxfId="3"/>
    <tableColumn id="6" xr3:uid="{CCF8ED9C-F225-4811-8A18-3A533539C8D5}" name="Total Sale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5"/>
  <sheetViews>
    <sheetView tabSelected="1" zoomScale="101" workbookViewId="0">
      <selection activeCell="H22" sqref="H22"/>
    </sheetView>
  </sheetViews>
  <sheetFormatPr defaultRowHeight="15" x14ac:dyDescent="0.25"/>
  <cols>
    <col min="1" max="1" width="12.28515625" bestFit="1" customWidth="1"/>
    <col min="2" max="2" width="14.5703125" customWidth="1"/>
    <col min="3" max="3" width="11.140625" customWidth="1"/>
    <col min="4" max="4" width="16" bestFit="1" customWidth="1"/>
    <col min="5" max="5" width="20.85546875" bestFit="1" customWidth="1"/>
    <col min="6" max="6" width="13.42578125" customWidth="1"/>
    <col min="7" max="7" width="23.28515625" customWidth="1"/>
    <col min="8" max="8" width="32" customWidth="1"/>
    <col min="9" max="9" width="57.85546875" customWidth="1"/>
  </cols>
  <sheetData>
    <row r="1" spans="1:21" x14ac:dyDescent="0.25">
      <c r="A1" s="6" t="s">
        <v>0</v>
      </c>
      <c r="B1" s="7" t="s">
        <v>1</v>
      </c>
      <c r="C1" s="8" t="s">
        <v>2</v>
      </c>
      <c r="D1" s="7" t="s">
        <v>3</v>
      </c>
      <c r="E1" s="7" t="s">
        <v>4</v>
      </c>
      <c r="F1" s="9" t="s">
        <v>24</v>
      </c>
    </row>
    <row r="2" spans="1:21" x14ac:dyDescent="0.25">
      <c r="A2" s="4" t="s">
        <v>6</v>
      </c>
      <c r="B2" s="2" t="s">
        <v>7</v>
      </c>
      <c r="C2" s="3">
        <v>1200</v>
      </c>
      <c r="D2" s="3">
        <v>1400</v>
      </c>
      <c r="E2" s="3">
        <v>1350</v>
      </c>
      <c r="F2" s="5">
        <f>SUM(C2:E2)</f>
        <v>3950</v>
      </c>
    </row>
    <row r="3" spans="1:21" x14ac:dyDescent="0.25">
      <c r="A3" s="4" t="s">
        <v>8</v>
      </c>
      <c r="B3" s="2" t="s">
        <v>7</v>
      </c>
      <c r="C3" s="3">
        <v>800</v>
      </c>
      <c r="D3" s="3">
        <v>950</v>
      </c>
      <c r="E3" s="3">
        <v>1100</v>
      </c>
      <c r="F3" s="5">
        <f t="shared" ref="F3:F10" si="0">SUM(C3:E3)</f>
        <v>2850</v>
      </c>
    </row>
    <row r="4" spans="1:21" x14ac:dyDescent="0.25">
      <c r="A4" s="4" t="s">
        <v>9</v>
      </c>
      <c r="B4" s="2" t="s">
        <v>7</v>
      </c>
      <c r="C4" s="3">
        <v>150</v>
      </c>
      <c r="D4" s="3">
        <v>200</v>
      </c>
      <c r="E4" s="3">
        <v>250</v>
      </c>
      <c r="F4" s="5">
        <f t="shared" si="0"/>
        <v>600</v>
      </c>
    </row>
    <row r="5" spans="1:21" x14ac:dyDescent="0.25">
      <c r="A5" s="4" t="s">
        <v>10</v>
      </c>
      <c r="B5" s="2" t="s">
        <v>11</v>
      </c>
      <c r="C5" s="3">
        <v>350</v>
      </c>
      <c r="D5" s="3">
        <v>300</v>
      </c>
      <c r="E5" s="3">
        <v>400</v>
      </c>
      <c r="F5" s="5">
        <f t="shared" si="0"/>
        <v>1050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25">
      <c r="A6" s="4" t="s">
        <v>12</v>
      </c>
      <c r="B6" s="2" t="s">
        <v>13</v>
      </c>
      <c r="C6" s="3">
        <v>120</v>
      </c>
      <c r="D6" s="3">
        <v>140</v>
      </c>
      <c r="E6" s="3">
        <v>160</v>
      </c>
      <c r="F6" s="5">
        <f t="shared" si="0"/>
        <v>420</v>
      </c>
      <c r="I6" s="15"/>
    </row>
    <row r="7" spans="1:21" x14ac:dyDescent="0.25">
      <c r="A7" s="4" t="s">
        <v>14</v>
      </c>
      <c r="B7" s="2" t="s">
        <v>13</v>
      </c>
      <c r="C7" s="3">
        <v>80</v>
      </c>
      <c r="D7" s="3">
        <v>100</v>
      </c>
      <c r="E7" s="3">
        <v>110</v>
      </c>
      <c r="F7" s="5">
        <f t="shared" si="0"/>
        <v>290</v>
      </c>
    </row>
    <row r="8" spans="1:21" x14ac:dyDescent="0.25">
      <c r="A8" s="4" t="s">
        <v>15</v>
      </c>
      <c r="B8" s="2" t="s">
        <v>16</v>
      </c>
      <c r="C8" s="3">
        <v>200</v>
      </c>
      <c r="D8" s="3">
        <v>250</v>
      </c>
      <c r="E8" s="3">
        <v>300</v>
      </c>
      <c r="F8" s="5">
        <f t="shared" si="0"/>
        <v>750</v>
      </c>
    </row>
    <row r="9" spans="1:21" x14ac:dyDescent="0.25">
      <c r="A9" s="4" t="s">
        <v>17</v>
      </c>
      <c r="B9" s="2" t="s">
        <v>16</v>
      </c>
      <c r="C9" s="3">
        <v>300</v>
      </c>
      <c r="D9" s="3">
        <v>350</v>
      </c>
      <c r="E9" s="3">
        <v>400</v>
      </c>
      <c r="F9" s="5">
        <f t="shared" si="0"/>
        <v>1050</v>
      </c>
    </row>
    <row r="10" spans="1:21" x14ac:dyDescent="0.25">
      <c r="A10" s="4" t="s">
        <v>18</v>
      </c>
      <c r="B10" s="2" t="s">
        <v>19</v>
      </c>
      <c r="C10" s="3">
        <v>250</v>
      </c>
      <c r="D10" s="3">
        <v>280</v>
      </c>
      <c r="E10" s="3">
        <v>320</v>
      </c>
      <c r="F10" s="5">
        <f t="shared" si="0"/>
        <v>850</v>
      </c>
    </row>
    <row r="11" spans="1:21" x14ac:dyDescent="0.25">
      <c r="A11" s="10" t="s">
        <v>5</v>
      </c>
      <c r="B11" s="11"/>
      <c r="C11" s="12">
        <f>SUM(C2:C10)</f>
        <v>3450</v>
      </c>
      <c r="D11" s="12">
        <f>SUM(D2:D10)</f>
        <v>3970</v>
      </c>
      <c r="E11" s="12">
        <f>SUM(E2:E10)</f>
        <v>4390</v>
      </c>
      <c r="F11" s="13">
        <f>SUM(F2:F10)</f>
        <v>11810</v>
      </c>
    </row>
    <row r="12" spans="1:21" x14ac:dyDescent="0.25">
      <c r="A12" s="10" t="s">
        <v>25</v>
      </c>
      <c r="B12" s="11"/>
      <c r="C12" s="12">
        <f>AVERAGE(C2:C10)</f>
        <v>383.33333333333331</v>
      </c>
      <c r="D12" s="12">
        <f>AVERAGE(D2:D10)</f>
        <v>441.11111111111109</v>
      </c>
      <c r="E12" s="12">
        <f>AVERAGE(E2:E10)</f>
        <v>487.77777777777777</v>
      </c>
      <c r="F12" s="13"/>
    </row>
    <row r="14" spans="1:21" ht="25.5" customHeight="1" x14ac:dyDescent="0.25">
      <c r="E14" s="22" t="s">
        <v>20</v>
      </c>
      <c r="F14" s="23"/>
      <c r="G14" s="24"/>
    </row>
    <row r="15" spans="1:21" ht="25.5" customHeight="1" x14ac:dyDescent="0.25">
      <c r="E15" s="16" t="s">
        <v>24</v>
      </c>
      <c r="F15" s="17">
        <f>SUM(F2:F10)</f>
        <v>11810</v>
      </c>
      <c r="G15" s="18"/>
    </row>
    <row r="16" spans="1:21" ht="17.25" customHeight="1" x14ac:dyDescent="0.25">
      <c r="E16" s="16" t="s">
        <v>21</v>
      </c>
      <c r="F16" s="17">
        <f>AVERAGE(C2:E10)</f>
        <v>437.40740740740739</v>
      </c>
      <c r="G16" s="18"/>
    </row>
    <row r="17" spans="2:7" x14ac:dyDescent="0.25">
      <c r="E17" s="16" t="s">
        <v>22</v>
      </c>
      <c r="F17" s="17">
        <f>MAX(C11:E11)</f>
        <v>4390</v>
      </c>
      <c r="G17" s="18" t="str">
        <f>INDEX(Table1[[#Headers],[Jan Sales]:[Mar Sales]], MATCH(MAX(C11:E11), C11:E11, 0))</f>
        <v>Mar Sales</v>
      </c>
    </row>
    <row r="18" spans="2:7" ht="18.75" customHeight="1" x14ac:dyDescent="0.25">
      <c r="E18" s="16" t="s">
        <v>23</v>
      </c>
      <c r="F18" s="17">
        <f>MIN(C11:E11)</f>
        <v>3450</v>
      </c>
      <c r="G18" s="18" t="str">
        <f>INDEX((Table1[[#Headers],[Jan Sales]:[Mar Sales]]), MATCH(MIN(C11:E11), C11:E11, 0))</f>
        <v>Jan Sales</v>
      </c>
    </row>
    <row r="20" spans="2:7" x14ac:dyDescent="0.25">
      <c r="E20" s="14"/>
    </row>
    <row r="21" spans="2:7" x14ac:dyDescent="0.25">
      <c r="B21" s="14"/>
      <c r="E21" s="3" t="s">
        <v>1</v>
      </c>
      <c r="F21" s="2" t="s">
        <v>24</v>
      </c>
    </row>
    <row r="22" spans="2:7" ht="20.25" customHeight="1" x14ac:dyDescent="0.25">
      <c r="E22" s="3" t="s">
        <v>7</v>
      </c>
      <c r="F22" s="2">
        <f>SUMIF($B$2:$B$10,"Electronics", $F$2:$F$10)</f>
        <v>7400</v>
      </c>
    </row>
    <row r="23" spans="2:7" ht="17.25" customHeight="1" x14ac:dyDescent="0.25">
      <c r="E23" s="21" t="s">
        <v>11</v>
      </c>
      <c r="F23" s="2">
        <f>SUMIF($B$2:$B$10,"Furniture", $F$2:$F$10)</f>
        <v>1050</v>
      </c>
    </row>
    <row r="24" spans="2:7" x14ac:dyDescent="0.25">
      <c r="E24" s="21" t="s">
        <v>13</v>
      </c>
      <c r="F24" s="2">
        <f>SUMIF($B$2:$B$10,"Appliances", $F$2:$F$10)</f>
        <v>710</v>
      </c>
    </row>
    <row r="25" spans="2:7" x14ac:dyDescent="0.25">
      <c r="E25" s="21" t="s">
        <v>16</v>
      </c>
      <c r="F25" s="2">
        <f>SUMIF($B$2:$B$10,"Clothing", $F$2:$F$10)</f>
        <v>1800</v>
      </c>
    </row>
    <row r="26" spans="2:7" ht="19.5" customHeight="1" x14ac:dyDescent="0.25">
      <c r="E26" s="21" t="s">
        <v>19</v>
      </c>
      <c r="F26" s="2">
        <f>SUMIF($B$2:$B$10,"Footware", $F$2:$F$10)</f>
        <v>850</v>
      </c>
    </row>
    <row r="35" ht="19.5" customHeight="1" x14ac:dyDescent="0.25"/>
  </sheetData>
  <mergeCells count="1">
    <mergeCell ref="E14:G14"/>
  </mergeCells>
  <conditionalFormatting sqref="A2:A10">
    <cfRule type="expression" dxfId="0" priority="1">
      <formula>F2&gt;AVERAGE($F$2:$F$10)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2CC36-69B4-480F-B149-FB6F96697F34}">
  <dimension ref="A3:B10"/>
  <sheetViews>
    <sheetView workbookViewId="0">
      <selection activeCell="F11" sqref="F11"/>
    </sheetView>
  </sheetViews>
  <sheetFormatPr defaultRowHeight="15" x14ac:dyDescent="0.25"/>
  <cols>
    <col min="1" max="1" width="13.42578125" bestFit="1" customWidth="1"/>
    <col min="2" max="2" width="17.7109375" bestFit="1" customWidth="1"/>
  </cols>
  <sheetData>
    <row r="3" spans="1:2" x14ac:dyDescent="0.25">
      <c r="A3" s="19" t="s">
        <v>26</v>
      </c>
      <c r="B3" t="s">
        <v>29</v>
      </c>
    </row>
    <row r="4" spans="1:2" x14ac:dyDescent="0.25">
      <c r="A4" s="20" t="s">
        <v>13</v>
      </c>
      <c r="B4" s="14">
        <v>710</v>
      </c>
    </row>
    <row r="5" spans="1:2" x14ac:dyDescent="0.25">
      <c r="A5" s="20" t="s">
        <v>16</v>
      </c>
      <c r="B5" s="14">
        <v>1800</v>
      </c>
    </row>
    <row r="6" spans="1:2" x14ac:dyDescent="0.25">
      <c r="A6" s="20" t="s">
        <v>7</v>
      </c>
      <c r="B6" s="14">
        <v>7400</v>
      </c>
    </row>
    <row r="7" spans="1:2" x14ac:dyDescent="0.25">
      <c r="A7" s="20" t="s">
        <v>19</v>
      </c>
      <c r="B7" s="14">
        <v>850</v>
      </c>
    </row>
    <row r="8" spans="1:2" x14ac:dyDescent="0.25">
      <c r="A8" s="20" t="s">
        <v>11</v>
      </c>
      <c r="B8" s="14">
        <v>1050</v>
      </c>
    </row>
    <row r="9" spans="1:2" x14ac:dyDescent="0.25">
      <c r="A9" s="20" t="s">
        <v>28</v>
      </c>
      <c r="B9" s="14">
        <v>11810</v>
      </c>
    </row>
    <row r="10" spans="1:2" x14ac:dyDescent="0.25">
      <c r="A10" s="20" t="s">
        <v>27</v>
      </c>
      <c r="B10" s="14">
        <v>23620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Shanzeh Butt</dc:creator>
  <cp:keywords/>
  <dc:description/>
  <cp:lastModifiedBy>Shanzeh Butt</cp:lastModifiedBy>
  <cp:revision/>
  <dcterms:created xsi:type="dcterms:W3CDTF">2025-04-10T17:53:45Z</dcterms:created>
  <dcterms:modified xsi:type="dcterms:W3CDTF">2025-12-18T17:51:43Z</dcterms:modified>
  <cp:category/>
  <cp:contentStatus/>
</cp:coreProperties>
</file>